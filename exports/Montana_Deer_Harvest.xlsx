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 Districts" sheetId="2" state="visible" r:id="rId2"/>
    <sheet xmlns:r="http://schemas.openxmlformats.org/officeDocument/2006/relationships" name="Trends" sheetId="3" state="visible" r:id="rId3"/>
    <sheet xmlns:r="http://schemas.openxmlformats.org/officeDocument/2006/relationships" name="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%;-0%;0%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1F2A22"/>
      <sz val="16"/>
    </font>
    <font>
      <name val="Arial"/>
      <i val="1"/>
      <color rgb="005D6A60"/>
      <sz val="9"/>
    </font>
    <font>
      <name val="Arial"/>
      <b val="1"/>
      <color rgb="002F5D3A"/>
      <sz val="12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2F5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3" fontId="2" fillId="0" borderId="0" pivotButton="0" quotePrefix="0" xfId="0"/>
    <xf numFmtId="165" fontId="2" fillId="0" borderId="0" applyAlignment="1" pivotButton="0" quotePrefix="0" xfId="0">
      <alignment horizontal="right"/>
    </xf>
    <xf numFmtId="0" fontId="5" fillId="0" borderId="0" pivotButton="0" quotePrefix="0" xfId="0"/>
    <xf numFmtId="1" fontId="2" fillId="0" borderId="0" pivotButton="0" quotePrefix="0" xfId="0"/>
    <xf numFmtId="49" fontId="2" fillId="0" borderId="0" pivotButton="0" quotePrefix="0" xfId="0"/>
    <xf numFmtId="9" fontId="2" fillId="0" borderId="0" pivotButton="0" quotePrefix="0" xfId="0"/>
    <xf numFmtId="164" fontId="2" fillId="0" borderId="0" pivotButton="0" quotePrefix="0" xfId="0"/>
    <xf numFmtId="0" fontId="6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Deer harvested statewide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'Summary'!B4</f>
            </strRef>
          </tx>
          <spPr>
            <a:ln xmlns:a="http://schemas.openxmlformats.org/drawingml/2006/main" w="28000">
              <a:solidFill>
                <a:srgbClr val="A0522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'Summary'!$A$5:$A$9</f>
            </numRef>
          </cat>
          <val>
            <numRef>
              <f>'Summary'!$B$5:$B$9</f>
            </numRef>
          </val>
          <smooth val="0"/>
        </ser>
        <ser>
          <idx val="1"/>
          <order val="1"/>
          <tx>
            <strRef>
              <f>'Summary'!C4</f>
            </strRef>
          </tx>
          <spPr>
            <a:ln xmlns:a="http://schemas.openxmlformats.org/drawingml/2006/main" w="28000">
              <a:solidFill>
                <a:srgbClr val="2F5D3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'Summary'!$A$5:$A$9</f>
            </numRef>
          </cat>
          <val>
            <numRef>
              <f>'Summary'!$C$5:$C$9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Animals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Mule Deer: top 10 by harvest per hunter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Districts'!E5</f>
            </strRef>
          </tx>
          <spPr>
            <a:solidFill xmlns:a="http://schemas.openxmlformats.org/drawingml/2006/main">
              <a:srgbClr val="A0522D"/>
            </a:solidFill>
            <a:ln xmlns:a="http://schemas.openxmlformats.org/drawingml/2006/main">
              <a:prstDash val="solid"/>
            </a:ln>
          </spPr>
          <cat>
            <numRef>
              <f>'Top Districts'!$B$6:$B$15</f>
            </numRef>
          </cat>
          <val>
            <numRef>
              <f>'Top Districts'!$E$6:$E$15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Whitetail: top 10 by harvest per hunter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Districts'!L5</f>
            </strRef>
          </tx>
          <spPr>
            <a:solidFill xmlns:a="http://schemas.openxmlformats.org/drawingml/2006/main">
              <a:srgbClr val="2F5D3A"/>
            </a:solidFill>
            <a:ln xmlns:a="http://schemas.openxmlformats.org/drawingml/2006/main">
              <a:prstDash val="solid"/>
            </a:ln>
          </spPr>
          <cat>
            <numRef>
              <f>'Top Districts'!$I$6:$I$15</f>
            </numRef>
          </cat>
          <val>
            <numRef>
              <f>'Top Districts'!$L$6:$L$15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32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32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Harvest" displayName="Harvest" ref="A1:I1409" headerRowCount="1">
  <autoFilter ref="A1:I1409"/>
  <tableColumns count="9">
    <tableColumn id="1" name="District"/>
    <tableColumn id="2" name="Region"/>
    <tableColumn id="3" name="Species"/>
    <tableColumn id="4" name="Year"/>
    <tableColumn id="5" name="Hunters"/>
    <tableColumn id="6" name="Hunter days"/>
    <tableColumn id="7" name="Harvest"/>
    <tableColumn id="8" name="Per hunter"/>
    <tableColumn id="9" name="Days per animal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Montana deer harvest, statewide</t>
        </is>
      </c>
    </row>
    <row r="2">
      <c r="A2" s="2" t="inlineStr">
        <is>
          <t>Totals are formulas over the Data sheet, so they update if you edit it.</t>
        </is>
      </c>
    </row>
    <row r="4">
      <c r="A4" s="3" t="inlineStr">
        <is>
          <t>Year</t>
        </is>
      </c>
      <c r="B4" s="3" t="inlineStr">
        <is>
          <t>Mule deer</t>
        </is>
      </c>
      <c r="C4" s="3" t="inlineStr">
        <is>
          <t>Whitetail</t>
        </is>
      </c>
      <c r="D4" s="3" t="inlineStr">
        <is>
          <t>All deer</t>
        </is>
      </c>
      <c r="E4" s="3" t="inlineStr">
        <is>
          <t>Change vs prior year</t>
        </is>
      </c>
    </row>
    <row r="5">
      <c r="A5" s="4" t="n">
        <v>2021</v>
      </c>
      <c r="B5" s="5">
        <f>SUMIFS(Data!$G$2:$G$1409,Data!$C$2:$C$1409,"mule deer",Data!$D$2:$D$1409,A5)</f>
        <v/>
      </c>
      <c r="C5" s="5">
        <f>SUMIFS(Data!$G$2:$G$1409,Data!$C$2:$C$1409,"whitetail",Data!$D$2:$D$1409,A5)</f>
        <v/>
      </c>
      <c r="D5" s="5">
        <f>B5+C5</f>
        <v/>
      </c>
      <c r="E5" s="6" t="inlineStr">
        <is>
          <t>–</t>
        </is>
      </c>
    </row>
    <row r="6">
      <c r="A6" s="4" t="n">
        <v>2022</v>
      </c>
      <c r="B6" s="5">
        <f>SUMIFS(Data!$G$2:$G$1409,Data!$C$2:$C$1409,"mule deer",Data!$D$2:$D$1409,A6)</f>
        <v/>
      </c>
      <c r="C6" s="5">
        <f>SUMIFS(Data!$G$2:$G$1409,Data!$C$2:$C$1409,"whitetail",Data!$D$2:$D$1409,A6)</f>
        <v/>
      </c>
      <c r="D6" s="5">
        <f>B6+C6</f>
        <v/>
      </c>
      <c r="E6" s="6">
        <f>IF(D5&gt;0,D6/D5-1,"")</f>
        <v/>
      </c>
    </row>
    <row r="7">
      <c r="A7" s="4" t="n">
        <v>2023</v>
      </c>
      <c r="B7" s="5">
        <f>SUMIFS(Data!$G$2:$G$1409,Data!$C$2:$C$1409,"mule deer",Data!$D$2:$D$1409,A7)</f>
        <v/>
      </c>
      <c r="C7" s="5">
        <f>SUMIFS(Data!$G$2:$G$1409,Data!$C$2:$C$1409,"whitetail",Data!$D$2:$D$1409,A7)</f>
        <v/>
      </c>
      <c r="D7" s="5">
        <f>B7+C7</f>
        <v/>
      </c>
      <c r="E7" s="6">
        <f>IF(D6&gt;0,D7/D6-1,"")</f>
        <v/>
      </c>
    </row>
    <row r="8">
      <c r="A8" s="4" t="n">
        <v>2024</v>
      </c>
      <c r="B8" s="5">
        <f>SUMIFS(Data!$G$2:$G$1409,Data!$C$2:$C$1409,"mule deer",Data!$D$2:$D$1409,A8)</f>
        <v/>
      </c>
      <c r="C8" s="5">
        <f>SUMIFS(Data!$G$2:$G$1409,Data!$C$2:$C$1409,"whitetail",Data!$D$2:$D$1409,A8)</f>
        <v/>
      </c>
      <c r="D8" s="5">
        <f>B8+C8</f>
        <v/>
      </c>
      <c r="E8" s="6">
        <f>IF(D7&gt;0,D8/D7-1,"")</f>
        <v/>
      </c>
    </row>
    <row r="9">
      <c r="A9" s="4" t="n">
        <v>2025</v>
      </c>
      <c r="B9" s="5">
        <f>SUMIFS(Data!$G$2:$G$1409,Data!$C$2:$C$1409,"mule deer",Data!$D$2:$D$1409,A9)</f>
        <v/>
      </c>
      <c r="C9" s="5">
        <f>SUMIFS(Data!$G$2:$G$1409,Data!$C$2:$C$1409,"whitetail",Data!$D$2:$D$1409,A9)</f>
        <v/>
      </c>
      <c r="D9" s="5">
        <f>B9+C9</f>
        <v/>
      </c>
      <c r="E9" s="6">
        <f>IF(D8&gt;0,D9/D8-1,"")</f>
        <v/>
      </c>
    </row>
    <row r="11">
      <c r="A11" s="2" t="inlineStr">
        <is>
          <t>Source: Montana FWP harvest estimates (myfwp.mt.gov). FWP counts deer hunters per district, not per species. Some years (e.g. 2022, 2024) have no hunter survey.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5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</cols>
  <sheetData>
    <row r="1">
      <c r="A1" s="1" t="inlineStr">
        <is>
          <t>Best-odds districts, 2025</t>
        </is>
      </c>
    </row>
    <row r="2">
      <c r="A2" s="2" t="inlineStr">
        <is>
          <t>Ranked by harvest per deer hunter, districts with 100+ hunters. 2025 is the latest year FWP surveyed hunter numbers.</t>
        </is>
      </c>
    </row>
    <row r="4">
      <c r="A4" s="7" t="inlineStr">
        <is>
          <t>Mule Deer</t>
        </is>
      </c>
      <c r="H4" s="7" t="inlineStr">
        <is>
          <t>Whitetail</t>
        </is>
      </c>
    </row>
    <row r="5">
      <c r="A5" s="3" t="inlineStr">
        <is>
          <t>#</t>
        </is>
      </c>
      <c r="B5" s="3" t="inlineStr">
        <is>
          <t>District</t>
        </is>
      </c>
      <c r="C5" s="3" t="inlineStr">
        <is>
          <t>Hunters</t>
        </is>
      </c>
      <c r="D5" s="3" t="inlineStr">
        <is>
          <t>Harvest</t>
        </is>
      </c>
      <c r="E5" s="3" t="inlineStr">
        <is>
          <t>Per hunter</t>
        </is>
      </c>
      <c r="F5" s="3" t="inlineStr">
        <is>
          <t>Days per animal</t>
        </is>
      </c>
      <c r="H5" s="3" t="inlineStr">
        <is>
          <t>#</t>
        </is>
      </c>
      <c r="I5" s="3" t="inlineStr">
        <is>
          <t>District</t>
        </is>
      </c>
      <c r="J5" s="3" t="inlineStr">
        <is>
          <t>Hunters</t>
        </is>
      </c>
      <c r="K5" s="3" t="inlineStr">
        <is>
          <t>Harvest</t>
        </is>
      </c>
      <c r="L5" s="3" t="inlineStr">
        <is>
          <t>Per hunter</t>
        </is>
      </c>
      <c r="M5" s="3" t="inlineStr">
        <is>
          <t>Days per animal</t>
        </is>
      </c>
    </row>
    <row r="6">
      <c r="A6" s="8" t="n">
        <v>1</v>
      </c>
      <c r="B6" s="9" t="inlineStr">
        <is>
          <t>392</t>
        </is>
      </c>
      <c r="C6" s="5" t="n">
        <v>691</v>
      </c>
      <c r="D6" s="5" t="n">
        <v>327</v>
      </c>
      <c r="E6" s="10">
        <f>D6/C6</f>
        <v/>
      </c>
      <c r="F6" s="11" t="n">
        <v>15.55045871559633</v>
      </c>
      <c r="H6" s="8" t="n">
        <v>1</v>
      </c>
      <c r="I6" s="9" t="inlineStr">
        <is>
          <t>170</t>
        </is>
      </c>
      <c r="J6" s="5" t="n">
        <v>2713</v>
      </c>
      <c r="K6" s="5" t="n">
        <v>1750</v>
      </c>
      <c r="L6" s="10">
        <f>K6/J6</f>
        <v/>
      </c>
      <c r="M6" s="11" t="n">
        <v>11.16342857142857</v>
      </c>
    </row>
    <row r="7">
      <c r="A7" s="8" t="n">
        <v>2</v>
      </c>
      <c r="B7" s="9" t="inlineStr">
        <is>
          <t>405</t>
        </is>
      </c>
      <c r="C7" s="5" t="n">
        <v>1279</v>
      </c>
      <c r="D7" s="5" t="n">
        <v>588</v>
      </c>
      <c r="E7" s="10">
        <f>D7/C7</f>
        <v/>
      </c>
      <c r="F7" s="11" t="n">
        <v>10.73979591836735</v>
      </c>
      <c r="H7" s="8" t="n">
        <v>2</v>
      </c>
      <c r="I7" s="9" t="inlineStr">
        <is>
          <t>444</t>
        </is>
      </c>
      <c r="J7" s="5" t="n">
        <v>840</v>
      </c>
      <c r="K7" s="5" t="n">
        <v>491</v>
      </c>
      <c r="L7" s="10">
        <f>K7/J7</f>
        <v/>
      </c>
      <c r="M7" s="11" t="n">
        <v>11.64765784114053</v>
      </c>
    </row>
    <row r="8">
      <c r="A8" s="8" t="n">
        <v>3</v>
      </c>
      <c r="B8" s="9" t="inlineStr">
        <is>
          <t>471</t>
        </is>
      </c>
      <c r="C8" s="5" t="n">
        <v>640</v>
      </c>
      <c r="D8" s="5" t="n">
        <v>284</v>
      </c>
      <c r="E8" s="10">
        <f>D8/C8</f>
        <v/>
      </c>
      <c r="F8" s="11" t="n">
        <v>18.65492957746479</v>
      </c>
      <c r="H8" s="8" t="n">
        <v>3</v>
      </c>
      <c r="I8" s="9" t="inlineStr">
        <is>
          <t>260</t>
        </is>
      </c>
      <c r="J8" s="5" t="n">
        <v>1130</v>
      </c>
      <c r="K8" s="5" t="n">
        <v>633</v>
      </c>
      <c r="L8" s="10">
        <f>K8/J8</f>
        <v/>
      </c>
      <c r="M8" s="11" t="n">
        <v>14.48183254344392</v>
      </c>
    </row>
    <row r="9">
      <c r="A9" s="8" t="n">
        <v>4</v>
      </c>
      <c r="B9" s="9" t="inlineStr">
        <is>
          <t>640</t>
        </is>
      </c>
      <c r="C9" s="5" t="n">
        <v>2776</v>
      </c>
      <c r="D9" s="5" t="n">
        <v>1225</v>
      </c>
      <c r="E9" s="10">
        <f>D9/C9</f>
        <v/>
      </c>
      <c r="F9" s="11" t="n">
        <v>14.00979591836735</v>
      </c>
      <c r="H9" s="8" t="n">
        <v>4</v>
      </c>
      <c r="I9" s="9" t="inlineStr">
        <is>
          <t>445</t>
        </is>
      </c>
      <c r="J9" s="5" t="n">
        <v>1281</v>
      </c>
      <c r="K9" s="5" t="n">
        <v>658</v>
      </c>
      <c r="L9" s="10">
        <f>K9/J9</f>
        <v/>
      </c>
      <c r="M9" s="11" t="n">
        <v>9.97112462006079</v>
      </c>
    </row>
    <row r="10">
      <c r="A10" s="8" t="n">
        <v>5</v>
      </c>
      <c r="B10" s="9" t="inlineStr">
        <is>
          <t>403</t>
        </is>
      </c>
      <c r="C10" s="5" t="n">
        <v>418</v>
      </c>
      <c r="D10" s="5" t="n">
        <v>183</v>
      </c>
      <c r="E10" s="10">
        <f>D10/C10</f>
        <v/>
      </c>
      <c r="F10" s="11" t="n">
        <v>11.7431693989071</v>
      </c>
      <c r="H10" s="8" t="n">
        <v>5</v>
      </c>
      <c r="I10" s="9" t="inlineStr">
        <is>
          <t>309</t>
        </is>
      </c>
      <c r="J10" s="5" t="n">
        <v>802</v>
      </c>
      <c r="K10" s="5" t="n">
        <v>346</v>
      </c>
      <c r="L10" s="10">
        <f>K10/J10</f>
        <v/>
      </c>
      <c r="M10" s="11" t="n">
        <v>15.57514450867052</v>
      </c>
    </row>
    <row r="11">
      <c r="A11" s="8" t="n">
        <v>6</v>
      </c>
      <c r="B11" s="9" t="inlineStr">
        <is>
          <t>652</t>
        </is>
      </c>
      <c r="C11" s="5" t="n">
        <v>123</v>
      </c>
      <c r="D11" s="5" t="n">
        <v>52</v>
      </c>
      <c r="E11" s="10">
        <f>D11/C11</f>
        <v/>
      </c>
      <c r="F11" s="11" t="n">
        <v>14.11538461538461</v>
      </c>
      <c r="H11" s="8" t="n">
        <v>6</v>
      </c>
      <c r="I11" s="9" t="inlineStr">
        <is>
          <t>262</t>
        </is>
      </c>
      <c r="J11" s="5" t="n">
        <v>804</v>
      </c>
      <c r="K11" s="5" t="n">
        <v>327</v>
      </c>
      <c r="L11" s="10">
        <f>K11/J11</f>
        <v/>
      </c>
      <c r="M11" s="11" t="n">
        <v>15.99388379204893</v>
      </c>
    </row>
    <row r="12">
      <c r="A12" s="8" t="n">
        <v>7</v>
      </c>
      <c r="B12" s="9" t="inlineStr">
        <is>
          <t>650</t>
        </is>
      </c>
      <c r="C12" s="5" t="n">
        <v>2010</v>
      </c>
      <c r="D12" s="5" t="n">
        <v>843</v>
      </c>
      <c r="E12" s="10">
        <f>D12/C12</f>
        <v/>
      </c>
      <c r="F12" s="11" t="n">
        <v>14.570581257414</v>
      </c>
      <c r="H12" s="8" t="n">
        <v>7</v>
      </c>
      <c r="I12" s="9" t="inlineStr">
        <is>
          <t>311</t>
        </is>
      </c>
      <c r="J12" s="5" t="n">
        <v>1633</v>
      </c>
      <c r="K12" s="5" t="n">
        <v>653</v>
      </c>
      <c r="L12" s="10">
        <f>K12/J12</f>
        <v/>
      </c>
      <c r="M12" s="11" t="n">
        <v>14.48392036753446</v>
      </c>
    </row>
    <row r="13">
      <c r="A13" s="8" t="n">
        <v>8</v>
      </c>
      <c r="B13" s="9" t="inlineStr">
        <is>
          <t>704</t>
        </is>
      </c>
      <c r="C13" s="5" t="n">
        <v>4306</v>
      </c>
      <c r="D13" s="5" t="n">
        <v>1770</v>
      </c>
      <c r="E13" s="10">
        <f>D13/C13</f>
        <v/>
      </c>
      <c r="F13" s="11" t="n">
        <v>14.4683615819209</v>
      </c>
      <c r="H13" s="8" t="n">
        <v>8</v>
      </c>
      <c r="I13" s="9" t="inlineStr">
        <is>
          <t>121</t>
        </is>
      </c>
      <c r="J13" s="5" t="n">
        <v>2639</v>
      </c>
      <c r="K13" s="5" t="n">
        <v>979</v>
      </c>
      <c r="L13" s="10">
        <f>K13/J13</f>
        <v/>
      </c>
      <c r="M13" s="11" t="n">
        <v>23.47906026557712</v>
      </c>
    </row>
    <row r="14">
      <c r="A14" s="8" t="n">
        <v>9</v>
      </c>
      <c r="B14" s="9" t="inlineStr">
        <is>
          <t>690</t>
        </is>
      </c>
      <c r="C14" s="5" t="n">
        <v>2914</v>
      </c>
      <c r="D14" s="5" t="n">
        <v>1194</v>
      </c>
      <c r="E14" s="10">
        <f>D14/C14</f>
        <v/>
      </c>
      <c r="F14" s="11" t="n">
        <v>13.00335008375209</v>
      </c>
      <c r="H14" s="8" t="n">
        <v>9</v>
      </c>
      <c r="I14" s="9" t="inlineStr">
        <is>
          <t>100</t>
        </is>
      </c>
      <c r="J14" s="5" t="n">
        <v>2765</v>
      </c>
      <c r="K14" s="5" t="n">
        <v>1021</v>
      </c>
      <c r="L14" s="10">
        <f>K14/J14</f>
        <v/>
      </c>
      <c r="M14" s="11" t="n">
        <v>22.07345739471107</v>
      </c>
    </row>
    <row r="15">
      <c r="A15" s="8" t="n">
        <v>10</v>
      </c>
      <c r="B15" s="9" t="inlineStr">
        <is>
          <t>705</t>
        </is>
      </c>
      <c r="C15" s="5" t="n">
        <v>3585</v>
      </c>
      <c r="D15" s="5" t="n">
        <v>1463</v>
      </c>
      <c r="E15" s="10">
        <f>D15/C15</f>
        <v/>
      </c>
      <c r="F15" s="11" t="n">
        <v>14.12918660287081</v>
      </c>
      <c r="H15" s="8" t="n">
        <v>10</v>
      </c>
      <c r="I15" s="9" t="inlineStr">
        <is>
          <t>101</t>
        </is>
      </c>
      <c r="J15" s="5" t="n">
        <v>2913</v>
      </c>
      <c r="K15" s="5" t="n">
        <v>1066</v>
      </c>
      <c r="L15" s="10">
        <f>K15/J15</f>
        <v/>
      </c>
      <c r="M15" s="11" t="n">
        <v>20.65572232645403</v>
      </c>
    </row>
    <row r="16">
      <c r="A16" s="8" t="n">
        <v>11</v>
      </c>
      <c r="B16" s="9" t="inlineStr">
        <is>
          <t>426</t>
        </is>
      </c>
      <c r="C16" s="5" t="n">
        <v>835</v>
      </c>
      <c r="D16" s="5" t="n">
        <v>335</v>
      </c>
      <c r="E16" s="10">
        <f>D16/C16</f>
        <v/>
      </c>
      <c r="F16" s="11" t="n">
        <v>12.94626865671642</v>
      </c>
      <c r="H16" s="8" t="n">
        <v>11</v>
      </c>
      <c r="I16" s="9" t="inlineStr">
        <is>
          <t>261</t>
        </is>
      </c>
      <c r="J16" s="5" t="n">
        <v>486</v>
      </c>
      <c r="K16" s="5" t="n">
        <v>174</v>
      </c>
      <c r="L16" s="10">
        <f>K16/J16</f>
        <v/>
      </c>
      <c r="M16" s="11" t="n">
        <v>16.96551724137931</v>
      </c>
    </row>
    <row r="17">
      <c r="A17" s="8" t="n">
        <v>12</v>
      </c>
      <c r="B17" s="9" t="inlineStr">
        <is>
          <t>502</t>
        </is>
      </c>
      <c r="C17" s="5" t="n">
        <v>1625</v>
      </c>
      <c r="D17" s="5" t="n">
        <v>650</v>
      </c>
      <c r="E17" s="10">
        <f>D17/C17</f>
        <v/>
      </c>
      <c r="F17" s="11" t="n">
        <v>12.81538461538462</v>
      </c>
      <c r="H17" s="8" t="n">
        <v>12</v>
      </c>
      <c r="I17" s="9" t="inlineStr">
        <is>
          <t>580</t>
        </is>
      </c>
      <c r="J17" s="5" t="n">
        <v>1399</v>
      </c>
      <c r="K17" s="5" t="n">
        <v>496</v>
      </c>
      <c r="L17" s="10">
        <f>K17/J17</f>
        <v/>
      </c>
      <c r="M17" s="11" t="n">
        <v>15.70564516129032</v>
      </c>
    </row>
    <row r="18">
      <c r="A18" s="8" t="n">
        <v>13</v>
      </c>
      <c r="B18" s="9" t="inlineStr">
        <is>
          <t>600</t>
        </is>
      </c>
      <c r="C18" s="5" t="n">
        <v>1998</v>
      </c>
      <c r="D18" s="5" t="n">
        <v>783</v>
      </c>
      <c r="E18" s="10">
        <f>D18/C18</f>
        <v/>
      </c>
      <c r="F18" s="11" t="n">
        <v>13.85568326947637</v>
      </c>
      <c r="H18" s="8" t="n">
        <v>13</v>
      </c>
      <c r="I18" s="9" t="inlineStr">
        <is>
          <t>250</t>
        </is>
      </c>
      <c r="J18" s="5" t="n">
        <v>449</v>
      </c>
      <c r="K18" s="5" t="n">
        <v>157</v>
      </c>
      <c r="L18" s="10">
        <f>K18/J18</f>
        <v/>
      </c>
      <c r="M18" s="11" t="n">
        <v>20.42675159235669</v>
      </c>
    </row>
    <row r="19">
      <c r="A19" s="8" t="n">
        <v>14</v>
      </c>
      <c r="B19" s="9" t="inlineStr">
        <is>
          <t>316</t>
        </is>
      </c>
      <c r="C19" s="5" t="n">
        <v>185</v>
      </c>
      <c r="D19" s="5" t="n">
        <v>72</v>
      </c>
      <c r="E19" s="10">
        <f>D19/C19</f>
        <v/>
      </c>
      <c r="F19" s="11" t="n">
        <v>15.30555555555556</v>
      </c>
      <c r="H19" s="8" t="n">
        <v>14</v>
      </c>
      <c r="I19" s="9" t="inlineStr">
        <is>
          <t>411</t>
        </is>
      </c>
      <c r="J19" s="5" t="n">
        <v>2383</v>
      </c>
      <c r="K19" s="5" t="n">
        <v>831</v>
      </c>
      <c r="L19" s="10">
        <f>K19/J19</f>
        <v/>
      </c>
      <c r="M19" s="11" t="n">
        <v>17.63778580024067</v>
      </c>
    </row>
    <row r="20">
      <c r="A20" s="8" t="n">
        <v>15</v>
      </c>
      <c r="B20" s="9" t="inlineStr">
        <is>
          <t>670</t>
        </is>
      </c>
      <c r="C20" s="5" t="n">
        <v>2456</v>
      </c>
      <c r="D20" s="5" t="n">
        <v>955</v>
      </c>
      <c r="E20" s="10">
        <f>D20/C20</f>
        <v/>
      </c>
      <c r="F20" s="11" t="n">
        <v>14.96544502617801</v>
      </c>
      <c r="H20" s="8" t="n">
        <v>15</v>
      </c>
      <c r="I20" s="9" t="inlineStr">
        <is>
          <t>320</t>
        </is>
      </c>
      <c r="J20" s="5" t="n">
        <v>2611</v>
      </c>
      <c r="K20" s="5" t="n">
        <v>909</v>
      </c>
      <c r="L20" s="10">
        <f>K20/J20</f>
        <v/>
      </c>
      <c r="M20" s="11" t="n">
        <v>18.4026402640264</v>
      </c>
    </row>
    <row r="21">
      <c r="A21" s="8" t="n">
        <v>16</v>
      </c>
      <c r="B21" s="9" t="inlineStr">
        <is>
          <t>401</t>
        </is>
      </c>
      <c r="C21" s="5" t="n">
        <v>1204</v>
      </c>
      <c r="D21" s="5" t="n">
        <v>467</v>
      </c>
      <c r="E21" s="10">
        <f>D21/C21</f>
        <v/>
      </c>
      <c r="F21" s="11" t="n">
        <v>13.32976445396146</v>
      </c>
      <c r="H21" s="8" t="n">
        <v>16</v>
      </c>
      <c r="I21" s="9" t="inlineStr">
        <is>
          <t>412</t>
        </is>
      </c>
      <c r="J21" s="5" t="n">
        <v>1139</v>
      </c>
      <c r="K21" s="5" t="n">
        <v>379</v>
      </c>
      <c r="L21" s="10">
        <f>K21/J21</f>
        <v/>
      </c>
      <c r="M21" s="11" t="n">
        <v>17.55672823218998</v>
      </c>
    </row>
    <row r="22">
      <c r="A22" s="8" t="n">
        <v>17</v>
      </c>
      <c r="B22" s="9" t="inlineStr">
        <is>
          <t>703</t>
        </is>
      </c>
      <c r="C22" s="5" t="n">
        <v>3447</v>
      </c>
      <c r="D22" s="5" t="n">
        <v>1277</v>
      </c>
      <c r="E22" s="10">
        <f>D22/C22</f>
        <v/>
      </c>
      <c r="F22" s="11" t="n">
        <v>16.61942051683634</v>
      </c>
      <c r="H22" s="8" t="n">
        <v>17</v>
      </c>
      <c r="I22" s="9" t="inlineStr">
        <is>
          <t>202</t>
        </is>
      </c>
      <c r="J22" s="5" t="n">
        <v>1814</v>
      </c>
      <c r="K22" s="5" t="n">
        <v>598</v>
      </c>
      <c r="L22" s="10">
        <f>K22/J22</f>
        <v/>
      </c>
      <c r="M22" s="11" t="n">
        <v>19.55852842809364</v>
      </c>
    </row>
    <row r="23">
      <c r="A23" s="8" t="n">
        <v>18</v>
      </c>
      <c r="B23" s="9" t="inlineStr">
        <is>
          <t>417</t>
        </is>
      </c>
      <c r="C23" s="5" t="n">
        <v>253</v>
      </c>
      <c r="D23" s="5" t="n">
        <v>93</v>
      </c>
      <c r="E23" s="10">
        <f>D23/C23</f>
        <v/>
      </c>
      <c r="F23" s="11" t="n">
        <v>14.68817204301075</v>
      </c>
      <c r="H23" s="8" t="n">
        <v>18</v>
      </c>
      <c r="I23" s="9" t="inlineStr">
        <is>
          <t>418</t>
        </is>
      </c>
      <c r="J23" s="5" t="n">
        <v>495</v>
      </c>
      <c r="K23" s="5" t="n">
        <v>159</v>
      </c>
      <c r="L23" s="10">
        <f>K23/J23</f>
        <v/>
      </c>
      <c r="M23" s="11" t="n">
        <v>28.79874213836478</v>
      </c>
    </row>
    <row r="24">
      <c r="A24" s="8" t="n">
        <v>19</v>
      </c>
      <c r="B24" s="9" t="inlineStr">
        <is>
          <t>702</t>
        </is>
      </c>
      <c r="C24" s="5" t="n">
        <v>1740</v>
      </c>
      <c r="D24" s="5" t="n">
        <v>631</v>
      </c>
      <c r="E24" s="10">
        <f>D24/C24</f>
        <v/>
      </c>
      <c r="F24" s="11" t="n">
        <v>15.16164817749604</v>
      </c>
      <c r="H24" s="8" t="n">
        <v>19</v>
      </c>
      <c r="I24" s="9" t="inlineStr">
        <is>
          <t>240</t>
        </is>
      </c>
      <c r="J24" s="5" t="n">
        <v>2009</v>
      </c>
      <c r="K24" s="5" t="n">
        <v>640</v>
      </c>
      <c r="L24" s="10">
        <f>K24/J24</f>
        <v/>
      </c>
      <c r="M24" s="11" t="n">
        <v>20.996875</v>
      </c>
    </row>
    <row r="25">
      <c r="A25" s="8" t="n">
        <v>20</v>
      </c>
      <c r="B25" s="9" t="inlineStr">
        <is>
          <t>400</t>
        </is>
      </c>
      <c r="C25" s="5" t="n">
        <v>2000</v>
      </c>
      <c r="D25" s="5" t="n">
        <v>725</v>
      </c>
      <c r="E25" s="10">
        <f>D25/C25</f>
        <v/>
      </c>
      <c r="F25" s="11" t="n">
        <v>17.32689655172414</v>
      </c>
      <c r="H25" s="8" t="n">
        <v>20</v>
      </c>
      <c r="I25" s="9" t="inlineStr">
        <is>
          <t>110</t>
        </is>
      </c>
      <c r="J25" s="5" t="n">
        <v>1344</v>
      </c>
      <c r="K25" s="5" t="n">
        <v>427</v>
      </c>
      <c r="L25" s="10">
        <f>K25/J25</f>
        <v/>
      </c>
      <c r="M25" s="11" t="n">
        <v>19.67915690866511</v>
      </c>
    </row>
    <row r="26">
      <c r="A26" s="8" t="n">
        <v>21</v>
      </c>
      <c r="B26" s="9" t="inlineStr">
        <is>
          <t>630</t>
        </is>
      </c>
      <c r="C26" s="5" t="n">
        <v>1664</v>
      </c>
      <c r="D26" s="5" t="n">
        <v>598</v>
      </c>
      <c r="E26" s="10">
        <f>D26/C26</f>
        <v/>
      </c>
      <c r="F26" s="11" t="n">
        <v>18.92307692307692</v>
      </c>
      <c r="H26" s="8" t="n">
        <v>21</v>
      </c>
      <c r="I26" s="9" t="inlineStr">
        <is>
          <t>124</t>
        </is>
      </c>
      <c r="J26" s="5" t="n">
        <v>441</v>
      </c>
      <c r="K26" s="5" t="n">
        <v>137</v>
      </c>
      <c r="L26" s="10">
        <f>K26/J26</f>
        <v/>
      </c>
      <c r="M26" s="11" t="n">
        <v>25.00729927007299</v>
      </c>
    </row>
    <row r="27">
      <c r="A27" s="8" t="n">
        <v>22</v>
      </c>
      <c r="B27" s="9" t="inlineStr">
        <is>
          <t>406</t>
        </is>
      </c>
      <c r="C27" s="5" t="n">
        <v>731</v>
      </c>
      <c r="D27" s="5" t="n">
        <v>239</v>
      </c>
      <c r="E27" s="10">
        <f>D27/C27</f>
        <v/>
      </c>
      <c r="F27" s="11" t="n">
        <v>13.82845188284519</v>
      </c>
      <c r="H27" s="8" t="n">
        <v>22</v>
      </c>
      <c r="I27" s="9" t="inlineStr">
        <is>
          <t>285</t>
        </is>
      </c>
      <c r="J27" s="5" t="n">
        <v>3133</v>
      </c>
      <c r="K27" s="5" t="n">
        <v>962</v>
      </c>
      <c r="L27" s="10">
        <f>K27/J27</f>
        <v/>
      </c>
      <c r="M27" s="11" t="n">
        <v>21.4968814968815</v>
      </c>
    </row>
    <row r="28">
      <c r="A28" s="8" t="n">
        <v>23</v>
      </c>
      <c r="B28" s="9" t="inlineStr">
        <is>
          <t>620</t>
        </is>
      </c>
      <c r="C28" s="5" t="n">
        <v>1199</v>
      </c>
      <c r="D28" s="5" t="n">
        <v>392</v>
      </c>
      <c r="E28" s="10">
        <f>D28/C28</f>
        <v/>
      </c>
      <c r="F28" s="11" t="n">
        <v>17.77040816326531</v>
      </c>
      <c r="H28" s="8" t="n">
        <v>23</v>
      </c>
      <c r="I28" s="9" t="inlineStr">
        <is>
          <t>525</t>
        </is>
      </c>
      <c r="J28" s="5" t="n">
        <v>2334</v>
      </c>
      <c r="K28" s="5" t="n">
        <v>714</v>
      </c>
      <c r="L28" s="10">
        <f>K28/J28</f>
        <v/>
      </c>
      <c r="M28" s="11" t="n">
        <v>18.27871148459384</v>
      </c>
    </row>
    <row r="29">
      <c r="A29" s="8" t="n">
        <v>24</v>
      </c>
      <c r="B29" s="9" t="inlineStr">
        <is>
          <t>419</t>
        </is>
      </c>
      <c r="C29" s="5" t="n">
        <v>861</v>
      </c>
      <c r="D29" s="5" t="n">
        <v>278</v>
      </c>
      <c r="E29" s="10">
        <f>D29/C29</f>
        <v/>
      </c>
      <c r="F29" s="11" t="n">
        <v>16.07553956834532</v>
      </c>
      <c r="H29" s="8" t="n">
        <v>24</v>
      </c>
      <c r="I29" s="9" t="inlineStr">
        <is>
          <t>421</t>
        </is>
      </c>
      <c r="J29" s="5" t="n">
        <v>1325</v>
      </c>
      <c r="K29" s="5" t="n">
        <v>397</v>
      </c>
      <c r="L29" s="10">
        <f>K29/J29</f>
        <v/>
      </c>
      <c r="M29" s="11" t="n">
        <v>19.65239294710327</v>
      </c>
    </row>
    <row r="30">
      <c r="A30" s="8" t="n">
        <v>25</v>
      </c>
      <c r="B30" s="9" t="inlineStr">
        <is>
          <t>700</t>
        </is>
      </c>
      <c r="C30" s="5" t="n">
        <v>3259</v>
      </c>
      <c r="D30" s="5" t="n">
        <v>1015</v>
      </c>
      <c r="E30" s="10">
        <f>D30/C30</f>
        <v/>
      </c>
      <c r="F30" s="11" t="n">
        <v>23.43152709359606</v>
      </c>
      <c r="H30" s="8" t="n">
        <v>25</v>
      </c>
      <c r="I30" s="9" t="inlineStr">
        <is>
          <t>104</t>
        </is>
      </c>
      <c r="J30" s="5" t="n">
        <v>1575</v>
      </c>
      <c r="K30" s="5" t="n">
        <v>469</v>
      </c>
      <c r="L30" s="10">
        <f>K30/J30</f>
        <v/>
      </c>
      <c r="M30" s="11" t="n">
        <v>27.46268656716418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Harvest by district and year</t>
        </is>
      </c>
    </row>
    <row r="2">
      <c r="A2" s="2" t="inlineStr">
        <is>
          <t>Darker green = more animals taken (shaded per species). Change compares the first and latest year.</t>
        </is>
      </c>
    </row>
    <row r="4">
      <c r="A4" s="7" t="inlineStr">
        <is>
          <t>Mule Deer</t>
        </is>
      </c>
    </row>
    <row r="5">
      <c r="A5" s="3" t="inlineStr">
        <is>
          <t>District</t>
        </is>
      </c>
      <c r="B5" s="3" t="inlineStr">
        <is>
          <t>Region</t>
        </is>
      </c>
      <c r="C5" s="3" t="inlineStr">
        <is>
          <t>2021</t>
        </is>
      </c>
      <c r="D5" s="3" t="inlineStr">
        <is>
          <t>2022</t>
        </is>
      </c>
      <c r="E5" s="3" t="inlineStr">
        <is>
          <t>2023</t>
        </is>
      </c>
      <c r="F5" s="3" t="inlineStr">
        <is>
          <t>2024</t>
        </is>
      </c>
      <c r="G5" s="3" t="inlineStr">
        <is>
          <t>2025</t>
        </is>
      </c>
      <c r="H5" s="3" t="inlineStr">
        <is>
          <t>Change</t>
        </is>
      </c>
    </row>
    <row r="6">
      <c r="A6" s="12" t="inlineStr">
        <is>
          <t>100</t>
        </is>
      </c>
      <c r="B6" s="4" t="n">
        <v>1</v>
      </c>
      <c r="C6" s="5" t="n">
        <v>165</v>
      </c>
      <c r="D6" s="5" t="n">
        <v>176</v>
      </c>
      <c r="E6" s="5" t="n">
        <v>169</v>
      </c>
      <c r="F6" s="5" t="n">
        <v>113</v>
      </c>
      <c r="G6" s="5" t="n">
        <v>119</v>
      </c>
      <c r="H6" s="13">
        <f>IF(AND(ISNUMBER(C6),C6&gt;0,ISNUMBER(G6)),G6/C6-1,"")</f>
        <v/>
      </c>
    </row>
    <row r="7">
      <c r="A7" s="12" t="inlineStr">
        <is>
          <t>101</t>
        </is>
      </c>
      <c r="B7" s="4" t="n">
        <v>1</v>
      </c>
      <c r="C7" s="5" t="n">
        <v>74</v>
      </c>
      <c r="D7" s="5" t="n">
        <v>110</v>
      </c>
      <c r="E7" s="5" t="n">
        <v>106</v>
      </c>
      <c r="F7" s="5" t="n">
        <v>125</v>
      </c>
      <c r="G7" s="5" t="n">
        <v>92</v>
      </c>
      <c r="H7" s="13">
        <f>IF(AND(ISNUMBER(C7),C7&gt;0,ISNUMBER(G7)),G7/C7-1,"")</f>
        <v/>
      </c>
    </row>
    <row r="8">
      <c r="A8" s="12" t="inlineStr">
        <is>
          <t>102</t>
        </is>
      </c>
      <c r="B8" s="4" t="n">
        <v>1</v>
      </c>
      <c r="C8" s="5" t="n">
        <v>54</v>
      </c>
      <c r="D8" s="5" t="n"/>
      <c r="E8" s="5" t="n"/>
      <c r="F8" s="5" t="n"/>
      <c r="G8" s="5" t="n"/>
      <c r="H8" s="13">
        <f>IF(AND(ISNUMBER(C8),C8&gt;0,ISNUMBER(G8)),G8/C8-1,"")</f>
        <v/>
      </c>
    </row>
    <row r="9">
      <c r="A9" s="12" t="inlineStr">
        <is>
          <t>103</t>
        </is>
      </c>
      <c r="B9" s="4" t="n">
        <v>1</v>
      </c>
      <c r="C9" s="5" t="n">
        <v>138</v>
      </c>
      <c r="D9" s="5" t="n">
        <v>158</v>
      </c>
      <c r="E9" s="5" t="n">
        <v>207</v>
      </c>
      <c r="F9" s="5" t="n">
        <v>233</v>
      </c>
      <c r="G9" s="5" t="n">
        <v>212</v>
      </c>
      <c r="H9" s="13">
        <f>IF(AND(ISNUMBER(C9),C9&gt;0,ISNUMBER(G9)),G9/C9-1,"")</f>
        <v/>
      </c>
    </row>
    <row r="10">
      <c r="A10" s="12" t="inlineStr">
        <is>
          <t>104</t>
        </is>
      </c>
      <c r="B10" s="4" t="n">
        <v>1</v>
      </c>
      <c r="C10" s="5" t="n">
        <v>57</v>
      </c>
      <c r="D10" s="5" t="n">
        <v>39</v>
      </c>
      <c r="E10" s="5" t="n">
        <v>59</v>
      </c>
      <c r="F10" s="5" t="n">
        <v>66</v>
      </c>
      <c r="G10" s="5" t="n">
        <v>64</v>
      </c>
      <c r="H10" s="13">
        <f>IF(AND(ISNUMBER(C10),C10&gt;0,ISNUMBER(G10)),G10/C10-1,"")</f>
        <v/>
      </c>
    </row>
    <row r="11">
      <c r="A11" s="12" t="inlineStr">
        <is>
          <t>109</t>
        </is>
      </c>
      <c r="B11" s="4" t="n">
        <v>1</v>
      </c>
      <c r="C11" s="5" t="n">
        <v>39</v>
      </c>
      <c r="D11" s="5" t="n"/>
      <c r="E11" s="5" t="n"/>
      <c r="F11" s="5" t="n"/>
      <c r="G11" s="5" t="n"/>
      <c r="H11" s="13">
        <f>IF(AND(ISNUMBER(C11),C11&gt;0,ISNUMBER(G11)),G11/C11-1,"")</f>
        <v/>
      </c>
    </row>
    <row r="12">
      <c r="A12" s="12" t="inlineStr">
        <is>
          <t>110</t>
        </is>
      </c>
      <c r="B12" s="4" t="n">
        <v>1</v>
      </c>
      <c r="C12" s="5" t="n">
        <v>8</v>
      </c>
      <c r="D12" s="5" t="n">
        <v>20</v>
      </c>
      <c r="E12" s="5" t="n">
        <v>40</v>
      </c>
      <c r="F12" s="5" t="n">
        <v>25</v>
      </c>
      <c r="G12" s="5" t="n">
        <v>38</v>
      </c>
      <c r="H12" s="13">
        <f>IF(AND(ISNUMBER(C12),C12&gt;0,ISNUMBER(G12)),G12/C12-1,"")</f>
        <v/>
      </c>
    </row>
    <row r="13">
      <c r="A13" s="12" t="inlineStr">
        <is>
          <t>120</t>
        </is>
      </c>
      <c r="B13" s="4" t="n">
        <v>1</v>
      </c>
      <c r="C13" s="5" t="n">
        <v>36</v>
      </c>
      <c r="D13" s="5" t="n">
        <v>49</v>
      </c>
      <c r="E13" s="5" t="n">
        <v>47</v>
      </c>
      <c r="F13" s="5" t="n">
        <v>34</v>
      </c>
      <c r="G13" s="5" t="n">
        <v>52</v>
      </c>
      <c r="H13" s="13">
        <f>IF(AND(ISNUMBER(C13),C13&gt;0,ISNUMBER(G13)),G13/C13-1,"")</f>
        <v/>
      </c>
    </row>
    <row r="14">
      <c r="A14" s="12" t="inlineStr">
        <is>
          <t>121</t>
        </is>
      </c>
      <c r="B14" s="4" t="n">
        <v>1</v>
      </c>
      <c r="C14" s="5" t="n">
        <v>130</v>
      </c>
      <c r="D14" s="5" t="n">
        <v>120</v>
      </c>
      <c r="E14" s="5" t="n">
        <v>131</v>
      </c>
      <c r="F14" s="5" t="n">
        <v>169</v>
      </c>
      <c r="G14" s="5" t="n">
        <v>176</v>
      </c>
      <c r="H14" s="13">
        <f>IF(AND(ISNUMBER(C14),C14&gt;0,ISNUMBER(G14)),G14/C14-1,"")</f>
        <v/>
      </c>
    </row>
    <row r="15">
      <c r="A15" s="12" t="inlineStr">
        <is>
          <t>122</t>
        </is>
      </c>
      <c r="B15" s="4" t="n">
        <v>1</v>
      </c>
      <c r="C15" s="5" t="n">
        <v>123</v>
      </c>
      <c r="D15" s="5" t="n">
        <v>158</v>
      </c>
      <c r="E15" s="5" t="n">
        <v>189</v>
      </c>
      <c r="F15" s="5" t="n">
        <v>201</v>
      </c>
      <c r="G15" s="5" t="n">
        <v>160</v>
      </c>
      <c r="H15" s="13">
        <f>IF(AND(ISNUMBER(C15),C15&gt;0,ISNUMBER(G15)),G15/C15-1,"")</f>
        <v/>
      </c>
    </row>
    <row r="16">
      <c r="A16" s="12" t="inlineStr">
        <is>
          <t>123</t>
        </is>
      </c>
      <c r="B16" s="4" t="n">
        <v>1</v>
      </c>
      <c r="C16" s="5" t="n">
        <v>19</v>
      </c>
      <c r="D16" s="5" t="n">
        <v>26</v>
      </c>
      <c r="E16" s="5" t="n">
        <v>47</v>
      </c>
      <c r="F16" s="5" t="n">
        <v>72</v>
      </c>
      <c r="G16" s="5" t="n">
        <v>53</v>
      </c>
      <c r="H16" s="13">
        <f>IF(AND(ISNUMBER(C16),C16&gt;0,ISNUMBER(G16)),G16/C16-1,"")</f>
        <v/>
      </c>
    </row>
    <row r="17">
      <c r="A17" s="12" t="inlineStr">
        <is>
          <t>124</t>
        </is>
      </c>
      <c r="B17" s="4" t="n">
        <v>1</v>
      </c>
      <c r="C17" s="5" t="n">
        <v>27</v>
      </c>
      <c r="D17" s="5" t="n">
        <v>71</v>
      </c>
      <c r="E17" s="5" t="n">
        <v>65</v>
      </c>
      <c r="F17" s="5" t="n">
        <v>53</v>
      </c>
      <c r="G17" s="5" t="n">
        <v>75</v>
      </c>
      <c r="H17" s="13">
        <f>IF(AND(ISNUMBER(C17),C17&gt;0,ISNUMBER(G17)),G17/C17-1,"")</f>
        <v/>
      </c>
    </row>
    <row r="18">
      <c r="A18" s="12" t="inlineStr">
        <is>
          <t>130</t>
        </is>
      </c>
      <c r="B18" s="4" t="n">
        <v>1</v>
      </c>
      <c r="C18" s="5" t="n">
        <v>14</v>
      </c>
      <c r="D18" s="5" t="n">
        <v>33</v>
      </c>
      <c r="E18" s="5" t="n">
        <v>20</v>
      </c>
      <c r="F18" s="5" t="n">
        <v>32</v>
      </c>
      <c r="G18" s="5" t="n">
        <v>45</v>
      </c>
      <c r="H18" s="13">
        <f>IF(AND(ISNUMBER(C18),C18&gt;0,ISNUMBER(G18)),G18/C18-1,"")</f>
        <v/>
      </c>
    </row>
    <row r="19">
      <c r="A19" s="12" t="inlineStr">
        <is>
          <t>140</t>
        </is>
      </c>
      <c r="B19" s="4" t="n">
        <v>1</v>
      </c>
      <c r="C19" s="5" t="n">
        <v>28</v>
      </c>
      <c r="D19" s="5" t="n">
        <v>36</v>
      </c>
      <c r="E19" s="5" t="n">
        <v>44</v>
      </c>
      <c r="F19" s="5" t="n">
        <v>31</v>
      </c>
      <c r="G19" s="5" t="n">
        <v>33</v>
      </c>
      <c r="H19" s="13">
        <f>IF(AND(ISNUMBER(C19),C19&gt;0,ISNUMBER(G19)),G19/C19-1,"")</f>
        <v/>
      </c>
    </row>
    <row r="20">
      <c r="A20" s="12" t="inlineStr">
        <is>
          <t>141</t>
        </is>
      </c>
      <c r="B20" s="4" t="n">
        <v>1</v>
      </c>
      <c r="C20" s="5" t="n">
        <v>11</v>
      </c>
      <c r="D20" s="5" t="n">
        <v>7</v>
      </c>
      <c r="E20" s="5" t="n">
        <v>10</v>
      </c>
      <c r="F20" s="5" t="n">
        <v>3</v>
      </c>
      <c r="G20" s="5" t="n">
        <v>7</v>
      </c>
      <c r="H20" s="13">
        <f>IF(AND(ISNUMBER(C20),C20&gt;0,ISNUMBER(G20)),G20/C20-1,"")</f>
        <v/>
      </c>
    </row>
    <row r="21">
      <c r="A21" s="12" t="inlineStr">
        <is>
          <t>150</t>
        </is>
      </c>
      <c r="B21" s="4" t="n">
        <v>1</v>
      </c>
      <c r="C21" s="5" t="n">
        <v>8</v>
      </c>
      <c r="D21" s="5" t="n">
        <v>10</v>
      </c>
      <c r="E21" s="5" t="n">
        <v>9</v>
      </c>
      <c r="F21" s="5" t="n">
        <v>12</v>
      </c>
      <c r="G21" s="5" t="n">
        <v>10</v>
      </c>
      <c r="H21" s="13">
        <f>IF(AND(ISNUMBER(C21),C21&gt;0,ISNUMBER(G21)),G21/C21-1,"")</f>
        <v/>
      </c>
    </row>
    <row r="22">
      <c r="A22" s="12" t="inlineStr">
        <is>
          <t>170</t>
        </is>
      </c>
      <c r="B22" s="4" t="n">
        <v>1</v>
      </c>
      <c r="C22" s="5" t="n">
        <v>48</v>
      </c>
      <c r="D22" s="5" t="n">
        <v>40</v>
      </c>
      <c r="E22" s="5" t="n">
        <v>44</v>
      </c>
      <c r="F22" s="5" t="n">
        <v>36</v>
      </c>
      <c r="G22" s="5" t="n">
        <v>22</v>
      </c>
      <c r="H22" s="13">
        <f>IF(AND(ISNUMBER(C22),C22&gt;0,ISNUMBER(G22)),G22/C22-1,"")</f>
        <v/>
      </c>
    </row>
    <row r="23">
      <c r="A23" s="12" t="inlineStr">
        <is>
          <t>200</t>
        </is>
      </c>
      <c r="B23" s="4" t="n">
        <v>2</v>
      </c>
      <c r="C23" s="5" t="n">
        <v>23</v>
      </c>
      <c r="D23" s="5" t="n">
        <v>10</v>
      </c>
      <c r="E23" s="5" t="n">
        <v>45</v>
      </c>
      <c r="F23" s="5" t="n">
        <v>34</v>
      </c>
      <c r="G23" s="5" t="n">
        <v>28</v>
      </c>
      <c r="H23" s="13">
        <f>IF(AND(ISNUMBER(C23),C23&gt;0,ISNUMBER(G23)),G23/C23-1,"")</f>
        <v/>
      </c>
    </row>
    <row r="24">
      <c r="A24" s="12" t="inlineStr">
        <is>
          <t>201</t>
        </is>
      </c>
      <c r="B24" s="4" t="n">
        <v>2</v>
      </c>
      <c r="C24" s="5" t="n">
        <v>87</v>
      </c>
      <c r="D24" s="5" t="n">
        <v>166</v>
      </c>
      <c r="E24" s="5" t="n">
        <v>211</v>
      </c>
      <c r="F24" s="5" t="n">
        <v>205</v>
      </c>
      <c r="G24" s="5" t="n">
        <v>185</v>
      </c>
      <c r="H24" s="13">
        <f>IF(AND(ISNUMBER(C24),C24&gt;0,ISNUMBER(G24)),G24/C24-1,"")</f>
        <v/>
      </c>
    </row>
    <row r="25">
      <c r="A25" s="12" t="inlineStr">
        <is>
          <t>202</t>
        </is>
      </c>
      <c r="B25" s="4" t="n">
        <v>2</v>
      </c>
      <c r="C25" s="5" t="n">
        <v>95</v>
      </c>
      <c r="D25" s="5" t="n">
        <v>67</v>
      </c>
      <c r="E25" s="5" t="n">
        <v>83</v>
      </c>
      <c r="F25" s="5" t="n">
        <v>99</v>
      </c>
      <c r="G25" s="5" t="n">
        <v>104</v>
      </c>
      <c r="H25" s="13">
        <f>IF(AND(ISNUMBER(C25),C25&gt;0,ISNUMBER(G25)),G25/C25-1,"")</f>
        <v/>
      </c>
    </row>
    <row r="26">
      <c r="A26" s="12" t="inlineStr">
        <is>
          <t>203</t>
        </is>
      </c>
      <c r="B26" s="4" t="n">
        <v>2</v>
      </c>
      <c r="C26" s="5" t="n">
        <v>96</v>
      </c>
      <c r="D26" s="5" t="n"/>
      <c r="E26" s="5" t="n"/>
      <c r="F26" s="5" t="n"/>
      <c r="G26" s="5" t="n"/>
      <c r="H26" s="13">
        <f>IF(AND(ISNUMBER(C26),C26&gt;0,ISNUMBER(G26)),G26/C26-1,"")</f>
        <v/>
      </c>
    </row>
    <row r="27">
      <c r="A27" s="12" t="inlineStr">
        <is>
          <t>204</t>
        </is>
      </c>
      <c r="B27" s="4" t="n">
        <v>2</v>
      </c>
      <c r="C27" s="5" t="n">
        <v>72</v>
      </c>
      <c r="D27" s="5" t="n">
        <v>95</v>
      </c>
      <c r="E27" s="5" t="n">
        <v>138</v>
      </c>
      <c r="F27" s="5" t="n">
        <v>67</v>
      </c>
      <c r="G27" s="5" t="n">
        <v>92</v>
      </c>
      <c r="H27" s="13">
        <f>IF(AND(ISNUMBER(C27),C27&gt;0,ISNUMBER(G27)),G27/C27-1,"")</f>
        <v/>
      </c>
    </row>
    <row r="28">
      <c r="A28" s="12" t="inlineStr">
        <is>
          <t>210</t>
        </is>
      </c>
      <c r="B28" s="4" t="n">
        <v>2</v>
      </c>
      <c r="C28" s="5" t="n">
        <v>49</v>
      </c>
      <c r="D28" s="5" t="n">
        <v>57</v>
      </c>
      <c r="E28" s="5" t="n">
        <v>67</v>
      </c>
      <c r="F28" s="5" t="n">
        <v>74</v>
      </c>
      <c r="G28" s="5" t="n">
        <v>62</v>
      </c>
      <c r="H28" s="13">
        <f>IF(AND(ISNUMBER(C28),C28&gt;0,ISNUMBER(G28)),G28/C28-1,"")</f>
        <v/>
      </c>
    </row>
    <row r="29">
      <c r="A29" s="12" t="inlineStr">
        <is>
          <t>211</t>
        </is>
      </c>
      <c r="B29" s="4" t="n">
        <v>2</v>
      </c>
      <c r="C29" s="5" t="n">
        <v>35</v>
      </c>
      <c r="D29" s="5" t="n">
        <v>31</v>
      </c>
      <c r="E29" s="5" t="n">
        <v>40</v>
      </c>
      <c r="F29" s="5" t="n">
        <v>53</v>
      </c>
      <c r="G29" s="5" t="n">
        <v>37</v>
      </c>
      <c r="H29" s="13">
        <f>IF(AND(ISNUMBER(C29),C29&gt;0,ISNUMBER(G29)),G29/C29-1,"")</f>
        <v/>
      </c>
    </row>
    <row r="30">
      <c r="A30" s="12" t="inlineStr">
        <is>
          <t>212</t>
        </is>
      </c>
      <c r="B30" s="4" t="n">
        <v>2</v>
      </c>
      <c r="C30" s="5" t="n">
        <v>38</v>
      </c>
      <c r="D30" s="5" t="n">
        <v>49</v>
      </c>
      <c r="E30" s="5" t="n">
        <v>43</v>
      </c>
      <c r="F30" s="5" t="n">
        <v>62</v>
      </c>
      <c r="G30" s="5" t="n">
        <v>79</v>
      </c>
      <c r="H30" s="13">
        <f>IF(AND(ISNUMBER(C30),C30&gt;0,ISNUMBER(G30)),G30/C30-1,"")</f>
        <v/>
      </c>
    </row>
    <row r="31">
      <c r="A31" s="12" t="inlineStr">
        <is>
          <t>213</t>
        </is>
      </c>
      <c r="B31" s="4" t="n">
        <v>2</v>
      </c>
      <c r="C31" s="5" t="n">
        <v>104</v>
      </c>
      <c r="D31" s="5" t="n">
        <v>129</v>
      </c>
      <c r="E31" s="5" t="n">
        <v>145</v>
      </c>
      <c r="F31" s="5" t="n">
        <v>180</v>
      </c>
      <c r="G31" s="5" t="n">
        <v>199</v>
      </c>
      <c r="H31" s="13">
        <f>IF(AND(ISNUMBER(C31),C31&gt;0,ISNUMBER(G31)),G31/C31-1,"")</f>
        <v/>
      </c>
    </row>
    <row r="32">
      <c r="A32" s="12" t="inlineStr">
        <is>
          <t>214</t>
        </is>
      </c>
      <c r="B32" s="4" t="n">
        <v>2</v>
      </c>
      <c r="C32" s="5" t="n">
        <v>16</v>
      </c>
      <c r="D32" s="5" t="n">
        <v>20</v>
      </c>
      <c r="E32" s="5" t="n">
        <v>27</v>
      </c>
      <c r="F32" s="5" t="n">
        <v>45</v>
      </c>
      <c r="G32" s="5" t="n">
        <v>14</v>
      </c>
      <c r="H32" s="13">
        <f>IF(AND(ISNUMBER(C32),C32&gt;0,ISNUMBER(G32)),G32/C32-1,"")</f>
        <v/>
      </c>
    </row>
    <row r="33">
      <c r="A33" s="12" t="inlineStr">
        <is>
          <t>215</t>
        </is>
      </c>
      <c r="B33" s="4" t="n">
        <v>2</v>
      </c>
      <c r="C33" s="5" t="n">
        <v>86</v>
      </c>
      <c r="D33" s="5" t="n">
        <v>150</v>
      </c>
      <c r="E33" s="5" t="n">
        <v>140</v>
      </c>
      <c r="F33" s="5" t="n">
        <v>188</v>
      </c>
      <c r="G33" s="5" t="n">
        <v>161</v>
      </c>
      <c r="H33" s="13">
        <f>IF(AND(ISNUMBER(C33),C33&gt;0,ISNUMBER(G33)),G33/C33-1,"")</f>
        <v/>
      </c>
    </row>
    <row r="34">
      <c r="A34" s="12" t="inlineStr">
        <is>
          <t>216</t>
        </is>
      </c>
      <c r="B34" s="4" t="n">
        <v>2</v>
      </c>
      <c r="C34" s="5" t="n">
        <v>55</v>
      </c>
      <c r="D34" s="5" t="n">
        <v>74</v>
      </c>
      <c r="E34" s="5" t="n">
        <v>72</v>
      </c>
      <c r="F34" s="5" t="n">
        <v>75</v>
      </c>
      <c r="G34" s="5" t="n">
        <v>90</v>
      </c>
      <c r="H34" s="13">
        <f>IF(AND(ISNUMBER(C34),C34&gt;0,ISNUMBER(G34)),G34/C34-1,"")</f>
        <v/>
      </c>
    </row>
    <row r="35">
      <c r="A35" s="12" t="inlineStr">
        <is>
          <t>217</t>
        </is>
      </c>
      <c r="B35" s="4" t="n">
        <v>2</v>
      </c>
      <c r="C35" s="5" t="n">
        <v>44</v>
      </c>
      <c r="D35" s="5" t="n">
        <v>40</v>
      </c>
      <c r="E35" s="5" t="n">
        <v>32</v>
      </c>
      <c r="F35" s="5" t="n">
        <v>44</v>
      </c>
      <c r="G35" s="5" t="n">
        <v>52</v>
      </c>
      <c r="H35" s="13">
        <f>IF(AND(ISNUMBER(C35),C35&gt;0,ISNUMBER(G35)),G35/C35-1,"")</f>
        <v/>
      </c>
    </row>
    <row r="36">
      <c r="A36" s="12" t="inlineStr">
        <is>
          <t>240</t>
        </is>
      </c>
      <c r="B36" s="4" t="n">
        <v>2</v>
      </c>
      <c r="C36" s="5" t="n">
        <v>114</v>
      </c>
      <c r="D36" s="5" t="n">
        <v>108</v>
      </c>
      <c r="E36" s="5" t="n">
        <v>114</v>
      </c>
      <c r="F36" s="5" t="n">
        <v>132</v>
      </c>
      <c r="G36" s="5" t="n">
        <v>135</v>
      </c>
      <c r="H36" s="13">
        <f>IF(AND(ISNUMBER(C36),C36&gt;0,ISNUMBER(G36)),G36/C36-1,"")</f>
        <v/>
      </c>
    </row>
    <row r="37">
      <c r="A37" s="12" t="inlineStr">
        <is>
          <t>250</t>
        </is>
      </c>
      <c r="B37" s="4" t="n">
        <v>2</v>
      </c>
      <c r="C37" s="5" t="n">
        <v>17</v>
      </c>
      <c r="D37" s="5" t="n">
        <v>22</v>
      </c>
      <c r="E37" s="5" t="n">
        <v>23</v>
      </c>
      <c r="F37" s="5" t="n">
        <v>17</v>
      </c>
      <c r="G37" s="5" t="n">
        <v>18</v>
      </c>
      <c r="H37" s="13">
        <f>IF(AND(ISNUMBER(C37),C37&gt;0,ISNUMBER(G37)),G37/C37-1,"")</f>
        <v/>
      </c>
    </row>
    <row r="38">
      <c r="A38" s="12" t="inlineStr">
        <is>
          <t>260</t>
        </is>
      </c>
      <c r="B38" s="4" t="n">
        <v>2</v>
      </c>
      <c r="C38" s="5" t="n">
        <v>33</v>
      </c>
      <c r="D38" s="5" t="n">
        <v>42</v>
      </c>
      <c r="E38" s="5" t="n">
        <v>45</v>
      </c>
      <c r="F38" s="5" t="n">
        <v>6</v>
      </c>
      <c r="G38" s="5" t="n">
        <v>35</v>
      </c>
      <c r="H38" s="13">
        <f>IF(AND(ISNUMBER(C38),C38&gt;0,ISNUMBER(G38)),G38/C38-1,"")</f>
        <v/>
      </c>
    </row>
    <row r="39">
      <c r="A39" s="12" t="inlineStr">
        <is>
          <t>261</t>
        </is>
      </c>
      <c r="B39" s="4" t="n">
        <v>2</v>
      </c>
      <c r="C39" s="5" t="n">
        <v>12</v>
      </c>
      <c r="D39" s="5" t="n">
        <v>14</v>
      </c>
      <c r="E39" s="5" t="n">
        <v>8</v>
      </c>
      <c r="F39" s="5" t="n">
        <v>15</v>
      </c>
      <c r="G39" s="5" t="n">
        <v>9</v>
      </c>
      <c r="H39" s="13">
        <f>IF(AND(ISNUMBER(C39),C39&gt;0,ISNUMBER(G39)),G39/C39-1,"")</f>
        <v/>
      </c>
    </row>
    <row r="40">
      <c r="A40" s="12" t="inlineStr">
        <is>
          <t>262</t>
        </is>
      </c>
      <c r="B40" s="4" t="n">
        <v>2</v>
      </c>
      <c r="C40" s="5" t="n">
        <v>71</v>
      </c>
      <c r="D40" s="5" t="n">
        <v>50</v>
      </c>
      <c r="E40" s="5" t="n">
        <v>34</v>
      </c>
      <c r="F40" s="5" t="n">
        <v>47</v>
      </c>
      <c r="G40" s="5" t="n">
        <v>41</v>
      </c>
      <c r="H40" s="13">
        <f>IF(AND(ISNUMBER(C40),C40&gt;0,ISNUMBER(G40)),G40/C40-1,"")</f>
        <v/>
      </c>
    </row>
    <row r="41">
      <c r="A41" s="12" t="inlineStr">
        <is>
          <t>270</t>
        </is>
      </c>
      <c r="B41" s="4" t="n">
        <v>2</v>
      </c>
      <c r="C41" s="5" t="n">
        <v>92</v>
      </c>
      <c r="D41" s="5" t="n">
        <v>67</v>
      </c>
      <c r="E41" s="5" t="n">
        <v>87</v>
      </c>
      <c r="F41" s="5" t="n">
        <v>80</v>
      </c>
      <c r="G41" s="5" t="n">
        <v>77</v>
      </c>
      <c r="H41" s="13">
        <f>IF(AND(ISNUMBER(C41),C41&gt;0,ISNUMBER(G41)),G41/C41-1,"")</f>
        <v/>
      </c>
    </row>
    <row r="42">
      <c r="A42" s="12" t="inlineStr">
        <is>
          <t>280</t>
        </is>
      </c>
      <c r="B42" s="4" t="n">
        <v>2</v>
      </c>
      <c r="C42" s="5" t="n">
        <v>3</v>
      </c>
      <c r="D42" s="5" t="n">
        <v>7</v>
      </c>
      <c r="E42" s="5" t="n">
        <v>3</v>
      </c>
      <c r="F42" s="5" t="n">
        <v>12</v>
      </c>
      <c r="G42" s="5" t="n">
        <v>7</v>
      </c>
      <c r="H42" s="13">
        <f>IF(AND(ISNUMBER(C42),C42&gt;0,ISNUMBER(G42)),G42/C42-1,"")</f>
        <v/>
      </c>
    </row>
    <row r="43">
      <c r="A43" s="12" t="inlineStr">
        <is>
          <t>281</t>
        </is>
      </c>
      <c r="B43" s="4" t="n">
        <v>2</v>
      </c>
      <c r="C43" s="5" t="n">
        <v>51</v>
      </c>
      <c r="D43" s="5" t="n">
        <v>71</v>
      </c>
      <c r="E43" s="5" t="n">
        <v>69</v>
      </c>
      <c r="F43" s="5" t="n">
        <v>75</v>
      </c>
      <c r="G43" s="5" t="n">
        <v>88</v>
      </c>
      <c r="H43" s="13">
        <f>IF(AND(ISNUMBER(C43),C43&gt;0,ISNUMBER(G43)),G43/C43-1,"")</f>
        <v/>
      </c>
    </row>
    <row r="44">
      <c r="A44" s="12" t="inlineStr">
        <is>
          <t>282</t>
        </is>
      </c>
      <c r="B44" s="4" t="n">
        <v>2</v>
      </c>
      <c r="C44" s="5" t="n">
        <v>8</v>
      </c>
      <c r="D44" s="5" t="n">
        <v>17</v>
      </c>
      <c r="E44" s="5" t="n">
        <v>5</v>
      </c>
      <c r="F44" s="5" t="n">
        <v>11</v>
      </c>
      <c r="G44" s="5" t="n">
        <v>11</v>
      </c>
      <c r="H44" s="13">
        <f>IF(AND(ISNUMBER(C44),C44&gt;0,ISNUMBER(G44)),G44/C44-1,"")</f>
        <v/>
      </c>
    </row>
    <row r="45">
      <c r="A45" s="12" t="inlineStr">
        <is>
          <t>283</t>
        </is>
      </c>
      <c r="B45" s="4" t="n">
        <v>2</v>
      </c>
      <c r="C45" s="5" t="n">
        <v>35</v>
      </c>
      <c r="D45" s="5" t="n"/>
      <c r="E45" s="5" t="n"/>
      <c r="F45" s="5" t="n"/>
      <c r="G45" s="5" t="n"/>
      <c r="H45" s="13">
        <f>IF(AND(ISNUMBER(C45),C45&gt;0,ISNUMBER(G45)),G45/C45-1,"")</f>
        <v/>
      </c>
    </row>
    <row r="46">
      <c r="A46" s="12" t="inlineStr">
        <is>
          <t>284</t>
        </is>
      </c>
      <c r="B46" s="4" t="n">
        <v>2</v>
      </c>
      <c r="C46" s="5" t="n">
        <v>3</v>
      </c>
      <c r="D46" s="5" t="n">
        <v>10</v>
      </c>
      <c r="E46" s="5" t="n">
        <v>7</v>
      </c>
      <c r="F46" s="5" t="n">
        <v>3</v>
      </c>
      <c r="G46" s="5" t="n">
        <v>13</v>
      </c>
      <c r="H46" s="13">
        <f>IF(AND(ISNUMBER(C46),C46&gt;0,ISNUMBER(G46)),G46/C46-1,"")</f>
        <v/>
      </c>
    </row>
    <row r="47">
      <c r="A47" s="12" t="inlineStr">
        <is>
          <t>285</t>
        </is>
      </c>
      <c r="B47" s="4" t="n">
        <v>2</v>
      </c>
      <c r="C47" s="5" t="n">
        <v>44</v>
      </c>
      <c r="D47" s="5" t="n">
        <v>85</v>
      </c>
      <c r="E47" s="5" t="n">
        <v>100</v>
      </c>
      <c r="F47" s="5" t="n">
        <v>109</v>
      </c>
      <c r="G47" s="5" t="n">
        <v>144</v>
      </c>
      <c r="H47" s="13">
        <f>IF(AND(ISNUMBER(C47),C47&gt;0,ISNUMBER(G47)),G47/C47-1,"")</f>
        <v/>
      </c>
    </row>
    <row r="48">
      <c r="A48" s="12" t="inlineStr">
        <is>
          <t>290</t>
        </is>
      </c>
      <c r="B48" s="4" t="n">
        <v>2</v>
      </c>
      <c r="C48" s="5" t="n">
        <v>19</v>
      </c>
      <c r="D48" s="5" t="n">
        <v>26</v>
      </c>
      <c r="E48" s="5" t="n">
        <v>20</v>
      </c>
      <c r="F48" s="5" t="n">
        <v>9</v>
      </c>
      <c r="G48" s="5" t="n">
        <v>17</v>
      </c>
      <c r="H48" s="13">
        <f>IF(AND(ISNUMBER(C48),C48&gt;0,ISNUMBER(G48)),G48/C48-1,"")</f>
        <v/>
      </c>
    </row>
    <row r="49">
      <c r="A49" s="12" t="inlineStr">
        <is>
          <t>291</t>
        </is>
      </c>
      <c r="B49" s="4" t="n">
        <v>2</v>
      </c>
      <c r="C49" s="5" t="n">
        <v>65</v>
      </c>
      <c r="D49" s="5" t="n">
        <v>39</v>
      </c>
      <c r="E49" s="5" t="n">
        <v>44</v>
      </c>
      <c r="F49" s="5" t="n">
        <v>60</v>
      </c>
      <c r="G49" s="5" t="n">
        <v>65</v>
      </c>
      <c r="H49" s="13">
        <f>IF(AND(ISNUMBER(C49),C49&gt;0,ISNUMBER(G49)),G49/C49-1,"")</f>
        <v/>
      </c>
    </row>
    <row r="50">
      <c r="A50" s="12" t="inlineStr">
        <is>
          <t>292</t>
        </is>
      </c>
      <c r="B50" s="4" t="n">
        <v>2</v>
      </c>
      <c r="C50" s="5" t="n">
        <v>149</v>
      </c>
      <c r="D50" s="5" t="n">
        <v>112</v>
      </c>
      <c r="E50" s="5" t="n">
        <v>158</v>
      </c>
      <c r="F50" s="5" t="n">
        <v>235</v>
      </c>
      <c r="G50" s="5" t="n">
        <v>242</v>
      </c>
      <c r="H50" s="13">
        <f>IF(AND(ISNUMBER(C50),C50&gt;0,ISNUMBER(G50)),G50/C50-1,"")</f>
        <v/>
      </c>
    </row>
    <row r="51">
      <c r="A51" s="12" t="inlineStr">
        <is>
          <t>293</t>
        </is>
      </c>
      <c r="B51" s="4" t="n">
        <v>2</v>
      </c>
      <c r="C51" s="5" t="n">
        <v>50</v>
      </c>
      <c r="D51" s="5" t="n">
        <v>81</v>
      </c>
      <c r="E51" s="5" t="n">
        <v>83</v>
      </c>
      <c r="F51" s="5" t="n">
        <v>60</v>
      </c>
      <c r="G51" s="5" t="n">
        <v>66</v>
      </c>
      <c r="H51" s="13">
        <f>IF(AND(ISNUMBER(C51),C51&gt;0,ISNUMBER(G51)),G51/C51-1,"")</f>
        <v/>
      </c>
    </row>
    <row r="52">
      <c r="A52" s="12" t="inlineStr">
        <is>
          <t>298</t>
        </is>
      </c>
      <c r="B52" s="4" t="n">
        <v>2</v>
      </c>
      <c r="C52" s="5" t="n">
        <v>12</v>
      </c>
      <c r="D52" s="5" t="n">
        <v>17</v>
      </c>
      <c r="E52" s="5" t="n">
        <v>20</v>
      </c>
      <c r="F52" s="5" t="n">
        <v>28</v>
      </c>
      <c r="G52" s="5" t="n">
        <v>42</v>
      </c>
      <c r="H52" s="13">
        <f>IF(AND(ISNUMBER(C52),C52&gt;0,ISNUMBER(G52)),G52/C52-1,"")</f>
        <v/>
      </c>
    </row>
    <row r="53">
      <c r="A53" s="12" t="inlineStr">
        <is>
          <t>300</t>
        </is>
      </c>
      <c r="B53" s="4" t="n">
        <v>3</v>
      </c>
      <c r="C53" s="5" t="n">
        <v>129</v>
      </c>
      <c r="D53" s="5" t="n"/>
      <c r="E53" s="5" t="n"/>
      <c r="F53" s="5" t="n"/>
      <c r="G53" s="5" t="n"/>
      <c r="H53" s="13">
        <f>IF(AND(ISNUMBER(C53),C53&gt;0,ISNUMBER(G53)),G53/C53-1,"")</f>
        <v/>
      </c>
    </row>
    <row r="54">
      <c r="A54" s="12" t="inlineStr">
        <is>
          <t>301</t>
        </is>
      </c>
      <c r="B54" s="4" t="n">
        <v>3</v>
      </c>
      <c r="C54" s="5" t="n">
        <v>76</v>
      </c>
      <c r="D54" s="5" t="n">
        <v>105</v>
      </c>
      <c r="E54" s="5" t="n">
        <v>102</v>
      </c>
      <c r="F54" s="5" t="n">
        <v>99</v>
      </c>
      <c r="G54" s="5" t="n">
        <v>146</v>
      </c>
      <c r="H54" s="13">
        <f>IF(AND(ISNUMBER(C54),C54&gt;0,ISNUMBER(G54)),G54/C54-1,"")</f>
        <v/>
      </c>
    </row>
    <row r="55">
      <c r="A55" s="12" t="inlineStr">
        <is>
          <t>302</t>
        </is>
      </c>
      <c r="B55" s="4" t="n">
        <v>3</v>
      </c>
      <c r="C55" s="5" t="n">
        <v>183</v>
      </c>
      <c r="D55" s="5" t="n">
        <v>130</v>
      </c>
      <c r="E55" s="5" t="n">
        <v>140</v>
      </c>
      <c r="F55" s="5" t="n">
        <v>194</v>
      </c>
      <c r="G55" s="5" t="n">
        <v>232</v>
      </c>
      <c r="H55" s="13">
        <f>IF(AND(ISNUMBER(C55),C55&gt;0,ISNUMBER(G55)),G55/C55-1,"")</f>
        <v/>
      </c>
    </row>
    <row r="56">
      <c r="A56" s="12" t="inlineStr">
        <is>
          <t>303</t>
        </is>
      </c>
      <c r="B56" s="4" t="n">
        <v>3</v>
      </c>
      <c r="C56" s="5" t="n"/>
      <c r="D56" s="5" t="n">
        <v>68</v>
      </c>
      <c r="E56" s="5" t="n">
        <v>78</v>
      </c>
      <c r="F56" s="5" t="n">
        <v>50</v>
      </c>
      <c r="G56" s="5" t="n">
        <v>47</v>
      </c>
      <c r="H56" s="13">
        <f>IF(AND(ISNUMBER(C56),C56&gt;0,ISNUMBER(G56)),G56/C56-1,"")</f>
        <v/>
      </c>
    </row>
    <row r="57">
      <c r="A57" s="12" t="inlineStr">
        <is>
          <t>304</t>
        </is>
      </c>
      <c r="B57" s="4" t="n">
        <v>3</v>
      </c>
      <c r="C57" s="5" t="n"/>
      <c r="D57" s="5" t="n">
        <v>108</v>
      </c>
      <c r="E57" s="5" t="n">
        <v>63</v>
      </c>
      <c r="F57" s="5" t="n">
        <v>103</v>
      </c>
      <c r="G57" s="5" t="n">
        <v>74</v>
      </c>
      <c r="H57" s="13">
        <f>IF(AND(ISNUMBER(C57),C57&gt;0,ISNUMBER(G57)),G57/C57-1,"")</f>
        <v/>
      </c>
    </row>
    <row r="58">
      <c r="A58" s="12" t="inlineStr">
        <is>
          <t>309</t>
        </is>
      </c>
      <c r="B58" s="4" t="n">
        <v>3</v>
      </c>
      <c r="C58" s="5" t="n">
        <v>21</v>
      </c>
      <c r="D58" s="5" t="n">
        <v>33</v>
      </c>
      <c r="E58" s="5" t="n">
        <v>23</v>
      </c>
      <c r="F58" s="5" t="n">
        <v>40</v>
      </c>
      <c r="G58" s="5" t="n">
        <v>68</v>
      </c>
      <c r="H58" s="13">
        <f>IF(AND(ISNUMBER(C58),C58&gt;0,ISNUMBER(G58)),G58/C58-1,"")</f>
        <v/>
      </c>
    </row>
    <row r="59">
      <c r="A59" s="12" t="inlineStr">
        <is>
          <t>310</t>
        </is>
      </c>
      <c r="B59" s="4" t="n">
        <v>3</v>
      </c>
      <c r="C59" s="5" t="n">
        <v>31</v>
      </c>
      <c r="D59" s="5" t="n">
        <v>32</v>
      </c>
      <c r="E59" s="5" t="n">
        <v>55</v>
      </c>
      <c r="F59" s="5" t="n">
        <v>39</v>
      </c>
      <c r="G59" s="5" t="n">
        <v>37</v>
      </c>
      <c r="H59" s="13">
        <f>IF(AND(ISNUMBER(C59),C59&gt;0,ISNUMBER(G59)),G59/C59-1,"")</f>
        <v/>
      </c>
    </row>
    <row r="60">
      <c r="A60" s="12" t="inlineStr">
        <is>
          <t>311</t>
        </is>
      </c>
      <c r="B60" s="4" t="n">
        <v>3</v>
      </c>
      <c r="C60" s="5" t="n">
        <v>413</v>
      </c>
      <c r="D60" s="5" t="n">
        <v>306</v>
      </c>
      <c r="E60" s="5" t="n">
        <v>320</v>
      </c>
      <c r="F60" s="5" t="n">
        <v>395</v>
      </c>
      <c r="G60" s="5" t="n">
        <v>295</v>
      </c>
      <c r="H60" s="13">
        <f>IF(AND(ISNUMBER(C60),C60&gt;0,ISNUMBER(G60)),G60/C60-1,"")</f>
        <v/>
      </c>
    </row>
    <row r="61">
      <c r="A61" s="12" t="inlineStr">
        <is>
          <t>312</t>
        </is>
      </c>
      <c r="B61" s="4" t="n">
        <v>3</v>
      </c>
      <c r="C61" s="5" t="n">
        <v>194</v>
      </c>
      <c r="D61" s="5" t="n">
        <v>191</v>
      </c>
      <c r="E61" s="5" t="n">
        <v>189</v>
      </c>
      <c r="F61" s="5" t="n">
        <v>171</v>
      </c>
      <c r="G61" s="5" t="n">
        <v>178</v>
      </c>
      <c r="H61" s="13">
        <f>IF(AND(ISNUMBER(C61),C61&gt;0,ISNUMBER(G61)),G61/C61-1,"")</f>
        <v/>
      </c>
    </row>
    <row r="62">
      <c r="A62" s="12" t="inlineStr">
        <is>
          <t>313</t>
        </is>
      </c>
      <c r="B62" s="4" t="n">
        <v>3</v>
      </c>
      <c r="C62" s="5" t="n">
        <v>164</v>
      </c>
      <c r="D62" s="5" t="n">
        <v>189</v>
      </c>
      <c r="E62" s="5" t="n">
        <v>156</v>
      </c>
      <c r="F62" s="5" t="n">
        <v>233</v>
      </c>
      <c r="G62" s="5" t="n">
        <v>198</v>
      </c>
      <c r="H62" s="13">
        <f>IF(AND(ISNUMBER(C62),C62&gt;0,ISNUMBER(G62)),G62/C62-1,"")</f>
        <v/>
      </c>
    </row>
    <row r="63">
      <c r="A63" s="12" t="inlineStr">
        <is>
          <t>314</t>
        </is>
      </c>
      <c r="B63" s="4" t="n">
        <v>3</v>
      </c>
      <c r="C63" s="5" t="n">
        <v>233</v>
      </c>
      <c r="D63" s="5" t="n">
        <v>236</v>
      </c>
      <c r="E63" s="5" t="n">
        <v>235</v>
      </c>
      <c r="F63" s="5" t="n">
        <v>335</v>
      </c>
      <c r="G63" s="5" t="n">
        <v>307</v>
      </c>
      <c r="H63" s="13">
        <f>IF(AND(ISNUMBER(C63),C63&gt;0,ISNUMBER(G63)),G63/C63-1,"")</f>
        <v/>
      </c>
    </row>
    <row r="64">
      <c r="A64" s="12" t="inlineStr">
        <is>
          <t>315</t>
        </is>
      </c>
      <c r="B64" s="4" t="n">
        <v>3</v>
      </c>
      <c r="C64" s="5" t="n">
        <v>197</v>
      </c>
      <c r="D64" s="5" t="n">
        <v>293</v>
      </c>
      <c r="E64" s="5" t="n">
        <v>253</v>
      </c>
      <c r="F64" s="5" t="n">
        <v>321</v>
      </c>
      <c r="G64" s="5" t="n">
        <v>316</v>
      </c>
      <c r="H64" s="13">
        <f>IF(AND(ISNUMBER(C64),C64&gt;0,ISNUMBER(G64)),G64/C64-1,"")</f>
        <v/>
      </c>
    </row>
    <row r="65">
      <c r="A65" s="12" t="inlineStr">
        <is>
          <t>316</t>
        </is>
      </c>
      <c r="B65" s="4" t="n">
        <v>3</v>
      </c>
      <c r="C65" s="5" t="n">
        <v>11</v>
      </c>
      <c r="D65" s="5" t="n">
        <v>17</v>
      </c>
      <c r="E65" s="5" t="n">
        <v>23</v>
      </c>
      <c r="F65" s="5" t="n">
        <v>42</v>
      </c>
      <c r="G65" s="5" t="n">
        <v>72</v>
      </c>
      <c r="H65" s="13">
        <f>IF(AND(ISNUMBER(C65),C65&gt;0,ISNUMBER(G65)),G65/C65-1,"")</f>
        <v/>
      </c>
    </row>
    <row r="66">
      <c r="A66" s="12" t="inlineStr">
        <is>
          <t>317</t>
        </is>
      </c>
      <c r="B66" s="4" t="n">
        <v>3</v>
      </c>
      <c r="C66" s="5" t="n">
        <v>217</v>
      </c>
      <c r="D66" s="5" t="n">
        <v>298</v>
      </c>
      <c r="E66" s="5" t="n">
        <v>241</v>
      </c>
      <c r="F66" s="5" t="n">
        <v>184</v>
      </c>
      <c r="G66" s="5" t="n">
        <v>205</v>
      </c>
      <c r="H66" s="13">
        <f>IF(AND(ISNUMBER(C66),C66&gt;0,ISNUMBER(G66)),G66/C66-1,"")</f>
        <v/>
      </c>
    </row>
    <row r="67">
      <c r="A67" s="12" t="inlineStr">
        <is>
          <t>318</t>
        </is>
      </c>
      <c r="B67" s="4" t="n">
        <v>3</v>
      </c>
      <c r="C67" s="5" t="n">
        <v>91</v>
      </c>
      <c r="D67" s="5" t="n">
        <v>93</v>
      </c>
      <c r="E67" s="5" t="n">
        <v>101</v>
      </c>
      <c r="F67" s="5" t="n">
        <v>151</v>
      </c>
      <c r="G67" s="5" t="n">
        <v>78</v>
      </c>
      <c r="H67" s="13">
        <f>IF(AND(ISNUMBER(C67),C67&gt;0,ISNUMBER(G67)),G67/C67-1,"")</f>
        <v/>
      </c>
    </row>
    <row r="68">
      <c r="A68" s="12" t="inlineStr">
        <is>
          <t>319</t>
        </is>
      </c>
      <c r="B68" s="4" t="n">
        <v>3</v>
      </c>
      <c r="C68" s="5" t="n">
        <v>57</v>
      </c>
      <c r="D68" s="5" t="n">
        <v>106</v>
      </c>
      <c r="E68" s="5" t="n">
        <v>67</v>
      </c>
      <c r="F68" s="5" t="n">
        <v>94</v>
      </c>
      <c r="G68" s="5" t="n">
        <v>89</v>
      </c>
      <c r="H68" s="13">
        <f>IF(AND(ISNUMBER(C68),C68&gt;0,ISNUMBER(G68)),G68/C68-1,"")</f>
        <v/>
      </c>
    </row>
    <row r="69">
      <c r="A69" s="12" t="inlineStr">
        <is>
          <t>320</t>
        </is>
      </c>
      <c r="B69" s="4" t="n">
        <v>3</v>
      </c>
      <c r="C69" s="5" t="n">
        <v>263</v>
      </c>
      <c r="D69" s="5" t="n">
        <v>434</v>
      </c>
      <c r="E69" s="5" t="n">
        <v>393</v>
      </c>
      <c r="F69" s="5" t="n">
        <v>381</v>
      </c>
      <c r="G69" s="5" t="n">
        <v>396</v>
      </c>
      <c r="H69" s="13">
        <f>IF(AND(ISNUMBER(C69),C69&gt;0,ISNUMBER(G69)),G69/C69-1,"")</f>
        <v/>
      </c>
    </row>
    <row r="70">
      <c r="A70" s="12" t="inlineStr">
        <is>
          <t>321</t>
        </is>
      </c>
      <c r="B70" s="4" t="n">
        <v>3</v>
      </c>
      <c r="C70" s="5" t="n">
        <v>30</v>
      </c>
      <c r="D70" s="5" t="n">
        <v>54</v>
      </c>
      <c r="E70" s="5" t="n">
        <v>93</v>
      </c>
      <c r="F70" s="5" t="n">
        <v>65</v>
      </c>
      <c r="G70" s="5" t="n">
        <v>85</v>
      </c>
      <c r="H70" s="13">
        <f>IF(AND(ISNUMBER(C70),C70&gt;0,ISNUMBER(G70)),G70/C70-1,"")</f>
        <v/>
      </c>
    </row>
    <row r="71">
      <c r="A71" s="12" t="inlineStr">
        <is>
          <t>322</t>
        </is>
      </c>
      <c r="B71" s="4" t="n">
        <v>3</v>
      </c>
      <c r="C71" s="5" t="n">
        <v>239</v>
      </c>
      <c r="D71" s="5" t="n">
        <v>1304</v>
      </c>
      <c r="E71" s="5" t="n">
        <v>1248</v>
      </c>
      <c r="F71" s="5" t="n">
        <v>338</v>
      </c>
      <c r="G71" s="5" t="n">
        <v>261</v>
      </c>
      <c r="H71" s="13">
        <f>IF(AND(ISNUMBER(C71),C71&gt;0,ISNUMBER(G71)),G71/C71-1,"")</f>
        <v/>
      </c>
    </row>
    <row r="72">
      <c r="A72" s="12" t="inlineStr">
        <is>
          <t>323</t>
        </is>
      </c>
      <c r="B72" s="4" t="n">
        <v>3</v>
      </c>
      <c r="C72" s="5" t="n">
        <v>56</v>
      </c>
      <c r="D72" s="5" t="n"/>
      <c r="E72" s="5" t="n"/>
      <c r="F72" s="5" t="n">
        <v>474</v>
      </c>
      <c r="G72" s="5" t="n">
        <v>400</v>
      </c>
      <c r="H72" s="13">
        <f>IF(AND(ISNUMBER(C72),C72&gt;0,ISNUMBER(G72)),G72/C72-1,"")</f>
        <v/>
      </c>
    </row>
    <row r="73">
      <c r="A73" s="12" t="inlineStr">
        <is>
          <t>324</t>
        </is>
      </c>
      <c r="B73" s="4" t="n">
        <v>3</v>
      </c>
      <c r="C73" s="5" t="n">
        <v>60</v>
      </c>
      <c r="D73" s="5" t="n"/>
      <c r="E73" s="5" t="n"/>
      <c r="F73" s="5" t="n">
        <v>295</v>
      </c>
      <c r="G73" s="5" t="n">
        <v>274</v>
      </c>
      <c r="H73" s="13">
        <f>IF(AND(ISNUMBER(C73),C73&gt;0,ISNUMBER(G73)),G73/C73-1,"")</f>
        <v/>
      </c>
    </row>
    <row r="74">
      <c r="A74" s="12" t="inlineStr">
        <is>
          <t>325</t>
        </is>
      </c>
      <c r="B74" s="4" t="n">
        <v>3</v>
      </c>
      <c r="C74" s="5" t="n">
        <v>463</v>
      </c>
      <c r="D74" s="5" t="n"/>
      <c r="E74" s="5" t="n"/>
      <c r="F74" s="5" t="n"/>
      <c r="G74" s="5" t="n"/>
      <c r="H74" s="13">
        <f>IF(AND(ISNUMBER(C74),C74&gt;0,ISNUMBER(G74)),G74/C74-1,"")</f>
        <v/>
      </c>
    </row>
    <row r="75">
      <c r="A75" s="12" t="inlineStr">
        <is>
          <t>326</t>
        </is>
      </c>
      <c r="B75" s="4" t="n">
        <v>3</v>
      </c>
      <c r="C75" s="5" t="n">
        <v>150</v>
      </c>
      <c r="D75" s="5" t="n"/>
      <c r="E75" s="5" t="n"/>
      <c r="F75" s="5" t="n"/>
      <c r="G75" s="5" t="n"/>
      <c r="H75" s="13">
        <f>IF(AND(ISNUMBER(C75),C75&gt;0,ISNUMBER(G75)),G75/C75-1,"")</f>
        <v/>
      </c>
    </row>
    <row r="76">
      <c r="A76" s="12" t="inlineStr">
        <is>
          <t>327</t>
        </is>
      </c>
      <c r="B76" s="4" t="n">
        <v>3</v>
      </c>
      <c r="C76" s="5" t="n">
        <v>70</v>
      </c>
      <c r="D76" s="5" t="n"/>
      <c r="E76" s="5" t="n"/>
      <c r="F76" s="5" t="n"/>
      <c r="G76" s="5" t="n"/>
      <c r="H76" s="13">
        <f>IF(AND(ISNUMBER(C76),C76&gt;0,ISNUMBER(G76)),G76/C76-1,"")</f>
        <v/>
      </c>
    </row>
    <row r="77">
      <c r="A77" s="12" t="inlineStr">
        <is>
          <t>328</t>
        </is>
      </c>
      <c r="B77" s="4" t="n">
        <v>3</v>
      </c>
      <c r="C77" s="5" t="n">
        <v>57</v>
      </c>
      <c r="D77" s="5" t="n"/>
      <c r="E77" s="5" t="n"/>
      <c r="F77" s="5" t="n"/>
      <c r="G77" s="5" t="n"/>
      <c r="H77" s="13">
        <f>IF(AND(ISNUMBER(C77),C77&gt;0,ISNUMBER(G77)),G77/C77-1,"")</f>
        <v/>
      </c>
    </row>
    <row r="78">
      <c r="A78" s="12" t="inlineStr">
        <is>
          <t>329</t>
        </is>
      </c>
      <c r="B78" s="4" t="n">
        <v>3</v>
      </c>
      <c r="C78" s="5" t="n">
        <v>123</v>
      </c>
      <c r="D78" s="5" t="n">
        <v>116</v>
      </c>
      <c r="E78" s="5" t="n">
        <v>136</v>
      </c>
      <c r="F78" s="5" t="n">
        <v>160</v>
      </c>
      <c r="G78" s="5" t="n">
        <v>192</v>
      </c>
      <c r="H78" s="13">
        <f>IF(AND(ISNUMBER(C78),C78&gt;0,ISNUMBER(G78)),G78/C78-1,"")</f>
        <v/>
      </c>
    </row>
    <row r="79">
      <c r="A79" s="12" t="inlineStr">
        <is>
          <t>330</t>
        </is>
      </c>
      <c r="B79" s="4" t="n">
        <v>3</v>
      </c>
      <c r="C79" s="5" t="n">
        <v>200</v>
      </c>
      <c r="D79" s="5" t="n"/>
      <c r="E79" s="5" t="n"/>
      <c r="F79" s="5" t="n"/>
      <c r="G79" s="5" t="n"/>
      <c r="H79" s="13">
        <f>IF(AND(ISNUMBER(C79),C79&gt;0,ISNUMBER(G79)),G79/C79-1,"")</f>
        <v/>
      </c>
    </row>
    <row r="80">
      <c r="A80" s="12" t="inlineStr">
        <is>
          <t>331</t>
        </is>
      </c>
      <c r="B80" s="4" t="n">
        <v>3</v>
      </c>
      <c r="C80" s="5" t="n">
        <v>297</v>
      </c>
      <c r="D80" s="5" t="n">
        <v>345</v>
      </c>
      <c r="E80" s="5" t="n">
        <v>310</v>
      </c>
      <c r="F80" s="5" t="n">
        <v>481</v>
      </c>
      <c r="G80" s="5" t="n">
        <v>415</v>
      </c>
      <c r="H80" s="13">
        <f>IF(AND(ISNUMBER(C80),C80&gt;0,ISNUMBER(G80)),G80/C80-1,"")</f>
        <v/>
      </c>
    </row>
    <row r="81">
      <c r="A81" s="12" t="inlineStr">
        <is>
          <t>332</t>
        </is>
      </c>
      <c r="B81" s="4" t="n">
        <v>3</v>
      </c>
      <c r="C81" s="5" t="n">
        <v>49</v>
      </c>
      <c r="D81" s="5" t="n"/>
      <c r="E81" s="5" t="n"/>
      <c r="F81" s="5" t="n"/>
      <c r="G81" s="5" t="n"/>
      <c r="H81" s="13">
        <f>IF(AND(ISNUMBER(C81),C81&gt;0,ISNUMBER(G81)),G81/C81-1,"")</f>
        <v/>
      </c>
    </row>
    <row r="82">
      <c r="A82" s="12" t="inlineStr">
        <is>
          <t>333</t>
        </is>
      </c>
      <c r="B82" s="4" t="n">
        <v>3</v>
      </c>
      <c r="C82" s="5" t="n">
        <v>259</v>
      </c>
      <c r="D82" s="5" t="n"/>
      <c r="E82" s="5" t="n"/>
      <c r="F82" s="5" t="n"/>
      <c r="G82" s="5" t="n"/>
      <c r="H82" s="13">
        <f>IF(AND(ISNUMBER(C82),C82&gt;0,ISNUMBER(G82)),G82/C82-1,"")</f>
        <v/>
      </c>
    </row>
    <row r="83">
      <c r="A83" s="12" t="inlineStr">
        <is>
          <t>334</t>
        </is>
      </c>
      <c r="B83" s="4" t="n">
        <v>3</v>
      </c>
      <c r="C83" s="5" t="n">
        <v>20</v>
      </c>
      <c r="D83" s="5" t="n"/>
      <c r="E83" s="5" t="n"/>
      <c r="F83" s="5" t="n"/>
      <c r="G83" s="5" t="n"/>
      <c r="H83" s="13">
        <f>IF(AND(ISNUMBER(C83),C83&gt;0,ISNUMBER(G83)),G83/C83-1,"")</f>
        <v/>
      </c>
    </row>
    <row r="84">
      <c r="A84" s="12" t="inlineStr">
        <is>
          <t>335</t>
        </is>
      </c>
      <c r="B84" s="4" t="n">
        <v>3</v>
      </c>
      <c r="C84" s="5" t="n">
        <v>206</v>
      </c>
      <c r="D84" s="5" t="n">
        <v>249</v>
      </c>
      <c r="E84" s="5" t="n">
        <v>245</v>
      </c>
      <c r="F84" s="5" t="n">
        <v>244</v>
      </c>
      <c r="G84" s="5" t="n">
        <v>256</v>
      </c>
      <c r="H84" s="13">
        <f>IF(AND(ISNUMBER(C84),C84&gt;0,ISNUMBER(G84)),G84/C84-1,"")</f>
        <v/>
      </c>
    </row>
    <row r="85">
      <c r="A85" s="12" t="inlineStr">
        <is>
          <t>339</t>
        </is>
      </c>
      <c r="B85" s="4" t="n">
        <v>3</v>
      </c>
      <c r="C85" s="5" t="n">
        <v>105</v>
      </c>
      <c r="D85" s="5" t="n">
        <v>110</v>
      </c>
      <c r="E85" s="5" t="n">
        <v>111</v>
      </c>
      <c r="F85" s="5" t="n">
        <v>121</v>
      </c>
      <c r="G85" s="5" t="n">
        <v>132</v>
      </c>
      <c r="H85" s="13">
        <f>IF(AND(ISNUMBER(C85),C85&gt;0,ISNUMBER(G85)),G85/C85-1,"")</f>
        <v/>
      </c>
    </row>
    <row r="86">
      <c r="A86" s="12" t="inlineStr">
        <is>
          <t>340</t>
        </is>
      </c>
      <c r="B86" s="4" t="n">
        <v>3</v>
      </c>
      <c r="C86" s="5" t="n">
        <v>355</v>
      </c>
      <c r="D86" s="5" t="n">
        <v>187</v>
      </c>
      <c r="E86" s="5" t="n">
        <v>221</v>
      </c>
      <c r="F86" s="5" t="n">
        <v>307</v>
      </c>
      <c r="G86" s="5" t="n">
        <v>273</v>
      </c>
      <c r="H86" s="13">
        <f>IF(AND(ISNUMBER(C86),C86&gt;0,ISNUMBER(G86)),G86/C86-1,"")</f>
        <v/>
      </c>
    </row>
    <row r="87">
      <c r="A87" s="12" t="inlineStr">
        <is>
          <t>341</t>
        </is>
      </c>
      <c r="B87" s="4" t="n">
        <v>3</v>
      </c>
      <c r="C87" s="5" t="n">
        <v>113</v>
      </c>
      <c r="D87" s="5" t="n"/>
      <c r="E87" s="5" t="n"/>
      <c r="F87" s="5" t="n"/>
      <c r="G87" s="5" t="n"/>
      <c r="H87" s="13">
        <f>IF(AND(ISNUMBER(C87),C87&gt;0,ISNUMBER(G87)),G87/C87-1,"")</f>
        <v/>
      </c>
    </row>
    <row r="88">
      <c r="A88" s="12" t="inlineStr">
        <is>
          <t>343</t>
        </is>
      </c>
      <c r="B88" s="4" t="n">
        <v>3</v>
      </c>
      <c r="C88" s="5" t="n">
        <v>107</v>
      </c>
      <c r="D88" s="5" t="n">
        <v>104</v>
      </c>
      <c r="E88" s="5" t="n">
        <v>172</v>
      </c>
      <c r="F88" s="5" t="n">
        <v>201</v>
      </c>
      <c r="G88" s="5" t="n">
        <v>190</v>
      </c>
      <c r="H88" s="13">
        <f>IF(AND(ISNUMBER(C88),C88&gt;0,ISNUMBER(G88)),G88/C88-1,"")</f>
        <v/>
      </c>
    </row>
    <row r="89">
      <c r="A89" s="12" t="inlineStr">
        <is>
          <t>350</t>
        </is>
      </c>
      <c r="B89" s="4" t="n">
        <v>3</v>
      </c>
      <c r="C89" s="5" t="n">
        <v>56</v>
      </c>
      <c r="D89" s="5" t="n">
        <v>122</v>
      </c>
      <c r="E89" s="5" t="n">
        <v>111</v>
      </c>
      <c r="F89" s="5" t="n">
        <v>125</v>
      </c>
      <c r="G89" s="5" t="n">
        <v>134</v>
      </c>
      <c r="H89" s="13">
        <f>IF(AND(ISNUMBER(C89),C89&gt;0,ISNUMBER(G89)),G89/C89-1,"")</f>
        <v/>
      </c>
    </row>
    <row r="90">
      <c r="A90" s="12" t="inlineStr">
        <is>
          <t>360</t>
        </is>
      </c>
      <c r="B90" s="4" t="n">
        <v>3</v>
      </c>
      <c r="C90" s="5" t="n">
        <v>141</v>
      </c>
      <c r="D90" s="5" t="n">
        <v>198</v>
      </c>
      <c r="E90" s="5" t="n">
        <v>182</v>
      </c>
      <c r="F90" s="5" t="n">
        <v>221</v>
      </c>
      <c r="G90" s="5" t="n">
        <v>221</v>
      </c>
      <c r="H90" s="13">
        <f>IF(AND(ISNUMBER(C90),C90&gt;0,ISNUMBER(G90)),G90/C90-1,"")</f>
        <v/>
      </c>
    </row>
    <row r="91">
      <c r="A91" s="12" t="inlineStr">
        <is>
          <t>361</t>
        </is>
      </c>
      <c r="B91" s="4" t="n">
        <v>3</v>
      </c>
      <c r="C91" s="5" t="n">
        <v>38</v>
      </c>
      <c r="D91" s="5" t="n">
        <v>28</v>
      </c>
      <c r="E91" s="5" t="n">
        <v>17</v>
      </c>
      <c r="F91" s="5" t="n">
        <v>29</v>
      </c>
      <c r="G91" s="5" t="n">
        <v>37</v>
      </c>
      <c r="H91" s="13">
        <f>IF(AND(ISNUMBER(C91),C91&gt;0,ISNUMBER(G91)),G91/C91-1,"")</f>
        <v/>
      </c>
    </row>
    <row r="92">
      <c r="A92" s="12" t="inlineStr">
        <is>
          <t>362</t>
        </is>
      </c>
      <c r="B92" s="4" t="n">
        <v>3</v>
      </c>
      <c r="C92" s="5" t="n">
        <v>37</v>
      </c>
      <c r="D92" s="5" t="n"/>
      <c r="E92" s="5" t="n"/>
      <c r="F92" s="5" t="n"/>
      <c r="G92" s="5" t="n"/>
      <c r="H92" s="13">
        <f>IF(AND(ISNUMBER(C92),C92&gt;0,ISNUMBER(G92)),G92/C92-1,"")</f>
        <v/>
      </c>
    </row>
    <row r="93">
      <c r="A93" s="12" t="inlineStr">
        <is>
          <t>370</t>
        </is>
      </c>
      <c r="B93" s="4" t="n">
        <v>3</v>
      </c>
      <c r="C93" s="5" t="n">
        <v>38</v>
      </c>
      <c r="D93" s="5" t="n">
        <v>49</v>
      </c>
      <c r="E93" s="5" t="n">
        <v>78</v>
      </c>
      <c r="F93" s="5" t="n">
        <v>81</v>
      </c>
      <c r="G93" s="5" t="n">
        <v>58</v>
      </c>
      <c r="H93" s="13">
        <f>IF(AND(ISNUMBER(C93),C93&gt;0,ISNUMBER(G93)),G93/C93-1,"")</f>
        <v/>
      </c>
    </row>
    <row r="94">
      <c r="A94" s="12" t="inlineStr">
        <is>
          <t>380</t>
        </is>
      </c>
      <c r="B94" s="4" t="n">
        <v>3</v>
      </c>
      <c r="C94" s="5" t="n">
        <v>383</v>
      </c>
      <c r="D94" s="5" t="n">
        <v>325</v>
      </c>
      <c r="E94" s="5" t="n">
        <v>337</v>
      </c>
      <c r="F94" s="5" t="n">
        <v>371</v>
      </c>
      <c r="G94" s="5" t="n">
        <v>357</v>
      </c>
      <c r="H94" s="13">
        <f>IF(AND(ISNUMBER(C94),C94&gt;0,ISNUMBER(G94)),G94/C94-1,"")</f>
        <v/>
      </c>
    </row>
    <row r="95">
      <c r="A95" s="12" t="inlineStr">
        <is>
          <t>388</t>
        </is>
      </c>
      <c r="B95" s="4" t="n">
        <v>3</v>
      </c>
      <c r="C95" s="5" t="n">
        <v>79</v>
      </c>
      <c r="D95" s="5" t="n">
        <v>97</v>
      </c>
      <c r="E95" s="5" t="n">
        <v>117</v>
      </c>
      <c r="F95" s="5" t="n">
        <v>161</v>
      </c>
      <c r="G95" s="5" t="n">
        <v>88</v>
      </c>
      <c r="H95" s="13">
        <f>IF(AND(ISNUMBER(C95),C95&gt;0,ISNUMBER(G95)),G95/C95-1,"")</f>
        <v/>
      </c>
    </row>
    <row r="96">
      <c r="A96" s="12" t="inlineStr">
        <is>
          <t>390</t>
        </is>
      </c>
      <c r="B96" s="4" t="n">
        <v>3</v>
      </c>
      <c r="C96" s="5" t="n">
        <v>150</v>
      </c>
      <c r="D96" s="5" t="n">
        <v>150</v>
      </c>
      <c r="E96" s="5" t="n">
        <v>150</v>
      </c>
      <c r="F96" s="5" t="n">
        <v>147</v>
      </c>
      <c r="G96" s="5" t="n">
        <v>162</v>
      </c>
      <c r="H96" s="13">
        <f>IF(AND(ISNUMBER(C96),C96&gt;0,ISNUMBER(G96)),G96/C96-1,"")</f>
        <v/>
      </c>
    </row>
    <row r="97">
      <c r="A97" s="12" t="inlineStr">
        <is>
          <t>391</t>
        </is>
      </c>
      <c r="B97" s="4" t="n">
        <v>3</v>
      </c>
      <c r="C97" s="5" t="n">
        <v>399</v>
      </c>
      <c r="D97" s="5" t="n">
        <v>365</v>
      </c>
      <c r="E97" s="5" t="n">
        <v>384</v>
      </c>
      <c r="F97" s="5" t="n">
        <v>432</v>
      </c>
      <c r="G97" s="5" t="n">
        <v>447</v>
      </c>
      <c r="H97" s="13">
        <f>IF(AND(ISNUMBER(C97),C97&gt;0,ISNUMBER(G97)),G97/C97-1,"")</f>
        <v/>
      </c>
    </row>
    <row r="98">
      <c r="A98" s="12" t="inlineStr">
        <is>
          <t>392</t>
        </is>
      </c>
      <c r="B98" s="4" t="n">
        <v>3</v>
      </c>
      <c r="C98" s="5" t="n">
        <v>207</v>
      </c>
      <c r="D98" s="5" t="n">
        <v>235</v>
      </c>
      <c r="E98" s="5" t="n">
        <v>233</v>
      </c>
      <c r="F98" s="5" t="n">
        <v>211</v>
      </c>
      <c r="G98" s="5" t="n">
        <v>327</v>
      </c>
      <c r="H98" s="13">
        <f>IF(AND(ISNUMBER(C98),C98&gt;0,ISNUMBER(G98)),G98/C98-1,"")</f>
        <v/>
      </c>
    </row>
    <row r="99">
      <c r="A99" s="12" t="inlineStr">
        <is>
          <t>393</t>
        </is>
      </c>
      <c r="B99" s="4" t="n">
        <v>3</v>
      </c>
      <c r="C99" s="5" t="n">
        <v>354</v>
      </c>
      <c r="D99" s="5" t="n">
        <v>332</v>
      </c>
      <c r="E99" s="5" t="n">
        <v>375</v>
      </c>
      <c r="F99" s="5" t="n">
        <v>345</v>
      </c>
      <c r="G99" s="5" t="n">
        <v>353</v>
      </c>
      <c r="H99" s="13">
        <f>IF(AND(ISNUMBER(C99),C99&gt;0,ISNUMBER(G99)),G99/C99-1,"")</f>
        <v/>
      </c>
    </row>
    <row r="100">
      <c r="A100" s="12" t="inlineStr">
        <is>
          <t>400</t>
        </is>
      </c>
      <c r="B100" s="4" t="n">
        <v>4</v>
      </c>
      <c r="C100" s="5" t="n">
        <v>788</v>
      </c>
      <c r="D100" s="5" t="n">
        <v>642</v>
      </c>
      <c r="E100" s="5" t="n">
        <v>849</v>
      </c>
      <c r="F100" s="5" t="n">
        <v>759</v>
      </c>
      <c r="G100" s="5" t="n">
        <v>725</v>
      </c>
      <c r="H100" s="13">
        <f>IF(AND(ISNUMBER(C100),C100&gt;0,ISNUMBER(G100)),G100/C100-1,"")</f>
        <v/>
      </c>
    </row>
    <row r="101">
      <c r="A101" s="12" t="inlineStr">
        <is>
          <t>401</t>
        </is>
      </c>
      <c r="B101" s="4" t="n">
        <v>4</v>
      </c>
      <c r="C101" s="5" t="n">
        <v>517</v>
      </c>
      <c r="D101" s="5" t="n">
        <v>511</v>
      </c>
      <c r="E101" s="5" t="n">
        <v>480</v>
      </c>
      <c r="F101" s="5" t="n">
        <v>443</v>
      </c>
      <c r="G101" s="5" t="n">
        <v>467</v>
      </c>
      <c r="H101" s="13">
        <f>IF(AND(ISNUMBER(C101),C101&gt;0,ISNUMBER(G101)),G101/C101-1,"")</f>
        <v/>
      </c>
    </row>
    <row r="102">
      <c r="A102" s="12" t="inlineStr">
        <is>
          <t>403</t>
        </is>
      </c>
      <c r="B102" s="4" t="n">
        <v>4</v>
      </c>
      <c r="C102" s="5" t="n">
        <v>167</v>
      </c>
      <c r="D102" s="5" t="n">
        <v>198</v>
      </c>
      <c r="E102" s="5" t="n">
        <v>206</v>
      </c>
      <c r="F102" s="5" t="n">
        <v>243</v>
      </c>
      <c r="G102" s="5" t="n">
        <v>183</v>
      </c>
      <c r="H102" s="13">
        <f>IF(AND(ISNUMBER(C102),C102&gt;0,ISNUMBER(G102)),G102/C102-1,"")</f>
        <v/>
      </c>
    </row>
    <row r="103">
      <c r="A103" s="12" t="inlineStr">
        <is>
          <t>404</t>
        </is>
      </c>
      <c r="B103" s="4" t="n">
        <v>4</v>
      </c>
      <c r="C103" s="5" t="n">
        <v>651</v>
      </c>
      <c r="D103" s="5" t="n">
        <v>496</v>
      </c>
      <c r="E103" s="5" t="n">
        <v>636</v>
      </c>
      <c r="F103" s="5" t="n">
        <v>653</v>
      </c>
      <c r="G103" s="5" t="n">
        <v>491</v>
      </c>
      <c r="H103" s="13">
        <f>IF(AND(ISNUMBER(C103),C103&gt;0,ISNUMBER(G103)),G103/C103-1,"")</f>
        <v/>
      </c>
    </row>
    <row r="104">
      <c r="A104" s="12" t="inlineStr">
        <is>
          <t>405</t>
        </is>
      </c>
      <c r="B104" s="4" t="n">
        <v>4</v>
      </c>
      <c r="C104" s="5" t="n">
        <v>574</v>
      </c>
      <c r="D104" s="5" t="n">
        <v>682</v>
      </c>
      <c r="E104" s="5" t="n">
        <v>583</v>
      </c>
      <c r="F104" s="5" t="n">
        <v>698</v>
      </c>
      <c r="G104" s="5" t="n">
        <v>588</v>
      </c>
      <c r="H104" s="13">
        <f>IF(AND(ISNUMBER(C104),C104&gt;0,ISNUMBER(G104)),G104/C104-1,"")</f>
        <v/>
      </c>
    </row>
    <row r="105">
      <c r="A105" s="12" t="inlineStr">
        <is>
          <t>406</t>
        </is>
      </c>
      <c r="B105" s="4" t="n">
        <v>4</v>
      </c>
      <c r="C105" s="5" t="n">
        <v>210</v>
      </c>
      <c r="D105" s="5" t="n">
        <v>262</v>
      </c>
      <c r="E105" s="5" t="n">
        <v>275</v>
      </c>
      <c r="F105" s="5" t="n">
        <v>297</v>
      </c>
      <c r="G105" s="5" t="n">
        <v>239</v>
      </c>
      <c r="H105" s="13">
        <f>IF(AND(ISNUMBER(C105),C105&gt;0,ISNUMBER(G105)),G105/C105-1,"")</f>
        <v/>
      </c>
    </row>
    <row r="106">
      <c r="A106" s="12" t="inlineStr">
        <is>
          <t>410</t>
        </is>
      </c>
      <c r="B106" s="4" t="n">
        <v>4</v>
      </c>
      <c r="C106" s="5" t="n">
        <v>538</v>
      </c>
      <c r="D106" s="5" t="n">
        <v>418</v>
      </c>
      <c r="E106" s="5" t="n">
        <v>373</v>
      </c>
      <c r="F106" s="5" t="n">
        <v>79</v>
      </c>
      <c r="G106" s="5" t="n">
        <v>92</v>
      </c>
      <c r="H106" s="13">
        <f>IF(AND(ISNUMBER(C106),C106&gt;0,ISNUMBER(G106)),G106/C106-1,"")</f>
        <v/>
      </c>
    </row>
    <row r="107">
      <c r="A107" s="12" t="inlineStr">
        <is>
          <t>411</t>
        </is>
      </c>
      <c r="B107" s="4" t="n">
        <v>4</v>
      </c>
      <c r="C107" s="5" t="n">
        <v>635</v>
      </c>
      <c r="D107" s="5" t="n">
        <v>435</v>
      </c>
      <c r="E107" s="5" t="n">
        <v>433</v>
      </c>
      <c r="F107" s="5" t="n">
        <v>439</v>
      </c>
      <c r="G107" s="5" t="n">
        <v>394</v>
      </c>
      <c r="H107" s="13">
        <f>IF(AND(ISNUMBER(C107),C107&gt;0,ISNUMBER(G107)),G107/C107-1,"")</f>
        <v/>
      </c>
    </row>
    <row r="108">
      <c r="A108" s="12" t="inlineStr">
        <is>
          <t>412</t>
        </is>
      </c>
      <c r="B108" s="4" t="n">
        <v>4</v>
      </c>
      <c r="C108" s="5" t="n">
        <v>524</v>
      </c>
      <c r="D108" s="5" t="n">
        <v>467</v>
      </c>
      <c r="E108" s="5" t="n">
        <v>393</v>
      </c>
      <c r="F108" s="5" t="n">
        <v>361</v>
      </c>
      <c r="G108" s="5" t="n">
        <v>353</v>
      </c>
      <c r="H108" s="13">
        <f>IF(AND(ISNUMBER(C108),C108&gt;0,ISNUMBER(G108)),G108/C108-1,"")</f>
        <v/>
      </c>
    </row>
    <row r="109">
      <c r="A109" s="12" t="inlineStr">
        <is>
          <t>413</t>
        </is>
      </c>
      <c r="B109" s="4" t="n">
        <v>4</v>
      </c>
      <c r="C109" s="5" t="n">
        <v>532</v>
      </c>
      <c r="D109" s="5" t="n">
        <v>776</v>
      </c>
      <c r="E109" s="5" t="n">
        <v>732</v>
      </c>
      <c r="F109" s="5" t="n">
        <v>754</v>
      </c>
      <c r="G109" s="5" t="n">
        <v>564</v>
      </c>
      <c r="H109" s="13">
        <f>IF(AND(ISNUMBER(C109),C109&gt;0,ISNUMBER(G109)),G109/C109-1,"")</f>
        <v/>
      </c>
    </row>
    <row r="110">
      <c r="A110" s="12" t="inlineStr">
        <is>
          <t>415</t>
        </is>
      </c>
      <c r="B110" s="4" t="n">
        <v>4</v>
      </c>
      <c r="C110" s="5" t="n">
        <v>8</v>
      </c>
      <c r="D110" s="5" t="n">
        <v>7</v>
      </c>
      <c r="E110" s="5" t="n">
        <v>24</v>
      </c>
      <c r="F110" s="5" t="n">
        <v>18</v>
      </c>
      <c r="G110" s="5" t="n">
        <v>11</v>
      </c>
      <c r="H110" s="13">
        <f>IF(AND(ISNUMBER(C110),C110&gt;0,ISNUMBER(G110)),G110/C110-1,"")</f>
        <v/>
      </c>
    </row>
    <row r="111">
      <c r="A111" s="12" t="inlineStr">
        <is>
          <t>416</t>
        </is>
      </c>
      <c r="B111" s="4" t="n">
        <v>4</v>
      </c>
      <c r="C111" s="5" t="n">
        <v>247</v>
      </c>
      <c r="D111" s="5" t="n">
        <v>353</v>
      </c>
      <c r="E111" s="5" t="n">
        <v>319</v>
      </c>
      <c r="F111" s="5" t="n">
        <v>291</v>
      </c>
      <c r="G111" s="5" t="n">
        <v>267</v>
      </c>
      <c r="H111" s="13">
        <f>IF(AND(ISNUMBER(C111),C111&gt;0,ISNUMBER(G111)),G111/C111-1,"")</f>
        <v/>
      </c>
    </row>
    <row r="112">
      <c r="A112" s="12" t="inlineStr">
        <is>
          <t>417</t>
        </is>
      </c>
      <c r="B112" s="4" t="n">
        <v>4</v>
      </c>
      <c r="C112" s="5" t="n">
        <v>519</v>
      </c>
      <c r="D112" s="5" t="n">
        <v>339</v>
      </c>
      <c r="E112" s="5" t="n">
        <v>262</v>
      </c>
      <c r="F112" s="5" t="n">
        <v>74</v>
      </c>
      <c r="G112" s="5" t="n">
        <v>93</v>
      </c>
      <c r="H112" s="13">
        <f>IF(AND(ISNUMBER(C112),C112&gt;0,ISNUMBER(G112)),G112/C112-1,"")</f>
        <v/>
      </c>
    </row>
    <row r="113">
      <c r="A113" s="12" t="inlineStr">
        <is>
          <t>418</t>
        </is>
      </c>
      <c r="B113" s="4" t="n">
        <v>4</v>
      </c>
      <c r="C113" s="5" t="n">
        <v>163</v>
      </c>
      <c r="D113" s="5" t="n">
        <v>97</v>
      </c>
      <c r="E113" s="5" t="n">
        <v>105</v>
      </c>
      <c r="F113" s="5" t="n">
        <v>150</v>
      </c>
      <c r="G113" s="5" t="n">
        <v>119</v>
      </c>
      <c r="H113" s="13">
        <f>IF(AND(ISNUMBER(C113),C113&gt;0,ISNUMBER(G113)),G113/C113-1,"")</f>
        <v/>
      </c>
    </row>
    <row r="114">
      <c r="A114" s="12" t="inlineStr">
        <is>
          <t>419</t>
        </is>
      </c>
      <c r="B114" s="4" t="n">
        <v>4</v>
      </c>
      <c r="C114" s="5" t="n">
        <v>234</v>
      </c>
      <c r="D114" s="5" t="n">
        <v>242</v>
      </c>
      <c r="E114" s="5" t="n">
        <v>255</v>
      </c>
      <c r="F114" s="5" t="n">
        <v>316</v>
      </c>
      <c r="G114" s="5" t="n">
        <v>278</v>
      </c>
      <c r="H114" s="13">
        <f>IF(AND(ISNUMBER(C114),C114&gt;0,ISNUMBER(G114)),G114/C114-1,"")</f>
        <v/>
      </c>
    </row>
    <row r="115">
      <c r="A115" s="12" t="inlineStr">
        <is>
          <t>420</t>
        </is>
      </c>
      <c r="B115" s="4" t="n">
        <v>4</v>
      </c>
      <c r="C115" s="5" t="n">
        <v>81</v>
      </c>
      <c r="D115" s="5" t="n">
        <v>40</v>
      </c>
      <c r="E115" s="5" t="n">
        <v>66</v>
      </c>
      <c r="F115" s="5" t="n">
        <v>71</v>
      </c>
      <c r="G115" s="5" t="n">
        <v>78</v>
      </c>
      <c r="H115" s="13">
        <f>IF(AND(ISNUMBER(C115),C115&gt;0,ISNUMBER(G115)),G115/C115-1,"")</f>
        <v/>
      </c>
    </row>
    <row r="116">
      <c r="A116" s="12" t="inlineStr">
        <is>
          <t>421</t>
        </is>
      </c>
      <c r="B116" s="4" t="n">
        <v>4</v>
      </c>
      <c r="C116" s="5" t="n">
        <v>185</v>
      </c>
      <c r="D116" s="5" t="n">
        <v>296</v>
      </c>
      <c r="E116" s="5" t="n">
        <v>370</v>
      </c>
      <c r="F116" s="5" t="n">
        <v>413</v>
      </c>
      <c r="G116" s="5" t="n">
        <v>403</v>
      </c>
      <c r="H116" s="13">
        <f>IF(AND(ISNUMBER(C116),C116&gt;0,ISNUMBER(G116)),G116/C116-1,"")</f>
        <v/>
      </c>
    </row>
    <row r="117">
      <c r="A117" s="12" t="inlineStr">
        <is>
          <t>422</t>
        </is>
      </c>
      <c r="B117" s="4" t="n">
        <v>4</v>
      </c>
      <c r="C117" s="5" t="n">
        <v>91</v>
      </c>
      <c r="D117" s="5" t="n">
        <v>80</v>
      </c>
      <c r="E117" s="5" t="n">
        <v>141</v>
      </c>
      <c r="F117" s="5" t="n">
        <v>136</v>
      </c>
      <c r="G117" s="5" t="n">
        <v>119</v>
      </c>
      <c r="H117" s="13">
        <f>IF(AND(ISNUMBER(C117),C117&gt;0,ISNUMBER(G117)),G117/C117-1,"")</f>
        <v/>
      </c>
    </row>
    <row r="118">
      <c r="A118" s="12" t="inlineStr">
        <is>
          <t>423</t>
        </is>
      </c>
      <c r="B118" s="4" t="n">
        <v>4</v>
      </c>
      <c r="C118" s="5" t="n">
        <v>121</v>
      </c>
      <c r="D118" s="5" t="n"/>
      <c r="E118" s="5" t="n"/>
      <c r="F118" s="5" t="n"/>
      <c r="G118" s="5" t="n"/>
      <c r="H118" s="13">
        <f>IF(AND(ISNUMBER(C118),C118&gt;0,ISNUMBER(G118)),G118/C118-1,"")</f>
        <v/>
      </c>
    </row>
    <row r="119">
      <c r="A119" s="12" t="inlineStr">
        <is>
          <t>424</t>
        </is>
      </c>
      <c r="B119" s="4" t="n">
        <v>4</v>
      </c>
      <c r="C119" s="5" t="n">
        <v>11</v>
      </c>
      <c r="D119" s="5" t="n">
        <v>29</v>
      </c>
      <c r="E119" s="5" t="n">
        <v>32</v>
      </c>
      <c r="F119" s="5" t="n">
        <v>36</v>
      </c>
      <c r="G119" s="5" t="n">
        <v>37</v>
      </c>
      <c r="H119" s="13">
        <f>IF(AND(ISNUMBER(C119),C119&gt;0,ISNUMBER(G119)),G119/C119-1,"")</f>
        <v/>
      </c>
    </row>
    <row r="120">
      <c r="A120" s="12" t="inlineStr">
        <is>
          <t>425</t>
        </is>
      </c>
      <c r="B120" s="4" t="n">
        <v>4</v>
      </c>
      <c r="C120" s="5" t="n">
        <v>76</v>
      </c>
      <c r="D120" s="5" t="n">
        <v>99</v>
      </c>
      <c r="E120" s="5" t="n">
        <v>148</v>
      </c>
      <c r="F120" s="5" t="n">
        <v>130</v>
      </c>
      <c r="G120" s="5" t="n">
        <v>89</v>
      </c>
      <c r="H120" s="13">
        <f>IF(AND(ISNUMBER(C120),C120&gt;0,ISNUMBER(G120)),G120/C120-1,"")</f>
        <v/>
      </c>
    </row>
    <row r="121">
      <c r="A121" s="12" t="inlineStr">
        <is>
          <t>426</t>
        </is>
      </c>
      <c r="B121" s="4" t="n">
        <v>4</v>
      </c>
      <c r="C121" s="5" t="n">
        <v>725</v>
      </c>
      <c r="D121" s="5" t="n">
        <v>556</v>
      </c>
      <c r="E121" s="5" t="n">
        <v>519</v>
      </c>
      <c r="F121" s="5" t="n">
        <v>498</v>
      </c>
      <c r="G121" s="5" t="n">
        <v>335</v>
      </c>
      <c r="H121" s="13">
        <f>IF(AND(ISNUMBER(C121),C121&gt;0,ISNUMBER(G121)),G121/C121-1,"")</f>
        <v/>
      </c>
    </row>
    <row r="122">
      <c r="A122" s="12" t="inlineStr">
        <is>
          <t>432</t>
        </is>
      </c>
      <c r="B122" s="4" t="n">
        <v>4</v>
      </c>
      <c r="C122" s="5" t="n">
        <v>208</v>
      </c>
      <c r="D122" s="5" t="n"/>
      <c r="E122" s="5" t="n"/>
      <c r="F122" s="5" t="n"/>
      <c r="G122" s="5" t="n"/>
      <c r="H122" s="13">
        <f>IF(AND(ISNUMBER(C122),C122&gt;0,ISNUMBER(G122)),G122/C122-1,"")</f>
        <v/>
      </c>
    </row>
    <row r="123">
      <c r="A123" s="12" t="inlineStr">
        <is>
          <t>441</t>
        </is>
      </c>
      <c r="B123" s="4" t="n">
        <v>4</v>
      </c>
      <c r="C123" s="5" t="n">
        <v>77</v>
      </c>
      <c r="D123" s="5" t="n">
        <v>71</v>
      </c>
      <c r="E123" s="5" t="n">
        <v>147</v>
      </c>
      <c r="F123" s="5" t="n">
        <v>125</v>
      </c>
      <c r="G123" s="5" t="n">
        <v>99</v>
      </c>
      <c r="H123" s="13">
        <f>IF(AND(ISNUMBER(C123),C123&gt;0,ISNUMBER(G123)),G123/C123-1,"")</f>
        <v/>
      </c>
    </row>
    <row r="124">
      <c r="A124" s="12" t="inlineStr">
        <is>
          <t>442</t>
        </is>
      </c>
      <c r="B124" s="4" t="n">
        <v>4</v>
      </c>
      <c r="C124" s="5" t="n">
        <v>51</v>
      </c>
      <c r="D124" s="5" t="n">
        <v>22</v>
      </c>
      <c r="E124" s="5" t="n">
        <v>50</v>
      </c>
      <c r="F124" s="5" t="n">
        <v>37</v>
      </c>
      <c r="G124" s="5" t="n">
        <v>27</v>
      </c>
      <c r="H124" s="13">
        <f>IF(AND(ISNUMBER(C124),C124&gt;0,ISNUMBER(G124)),G124/C124-1,"")</f>
        <v/>
      </c>
    </row>
    <row r="125">
      <c r="A125" s="12" t="inlineStr">
        <is>
          <t>444</t>
        </is>
      </c>
      <c r="B125" s="4" t="n">
        <v>4</v>
      </c>
      <c r="C125" s="5" t="n">
        <v>121</v>
      </c>
      <c r="D125" s="5" t="n">
        <v>147</v>
      </c>
      <c r="E125" s="5" t="n">
        <v>139</v>
      </c>
      <c r="F125" s="5" t="n">
        <v>159</v>
      </c>
      <c r="G125" s="5" t="n">
        <v>101</v>
      </c>
      <c r="H125" s="13">
        <f>IF(AND(ISNUMBER(C125),C125&gt;0,ISNUMBER(G125)),G125/C125-1,"")</f>
        <v/>
      </c>
    </row>
    <row r="126">
      <c r="A126" s="12" t="inlineStr">
        <is>
          <t>445</t>
        </is>
      </c>
      <c r="B126" s="4" t="n">
        <v>4</v>
      </c>
      <c r="C126" s="5" t="n">
        <v>283</v>
      </c>
      <c r="D126" s="5" t="n">
        <v>249</v>
      </c>
      <c r="E126" s="5" t="n">
        <v>242</v>
      </c>
      <c r="F126" s="5" t="n">
        <v>319</v>
      </c>
      <c r="G126" s="5" t="n">
        <v>221</v>
      </c>
      <c r="H126" s="13">
        <f>IF(AND(ISNUMBER(C126),C126&gt;0,ISNUMBER(G126)),G126/C126-1,"")</f>
        <v/>
      </c>
    </row>
    <row r="127">
      <c r="A127" s="12" t="inlineStr">
        <is>
          <t>446</t>
        </is>
      </c>
      <c r="B127" s="4" t="n">
        <v>4</v>
      </c>
      <c r="C127" s="5" t="n">
        <v>140</v>
      </c>
      <c r="D127" s="5" t="n">
        <v>81</v>
      </c>
      <c r="E127" s="5" t="n">
        <v>127</v>
      </c>
      <c r="F127" s="5" t="n">
        <v>136</v>
      </c>
      <c r="G127" s="5" t="n">
        <v>108</v>
      </c>
      <c r="H127" s="13">
        <f>IF(AND(ISNUMBER(C127),C127&gt;0,ISNUMBER(G127)),G127/C127-1,"")</f>
        <v/>
      </c>
    </row>
    <row r="128">
      <c r="A128" s="12" t="inlineStr">
        <is>
          <t>447</t>
        </is>
      </c>
      <c r="B128" s="4" t="n">
        <v>4</v>
      </c>
      <c r="C128" s="5" t="n">
        <v>681</v>
      </c>
      <c r="D128" s="5" t="n">
        <v>630</v>
      </c>
      <c r="E128" s="5" t="n">
        <v>602</v>
      </c>
      <c r="F128" s="5" t="n">
        <v>581</v>
      </c>
      <c r="G128" s="5" t="n">
        <v>431</v>
      </c>
      <c r="H128" s="13">
        <f>IF(AND(ISNUMBER(C128),C128&gt;0,ISNUMBER(G128)),G128/C128-1,"")</f>
        <v/>
      </c>
    </row>
    <row r="129">
      <c r="A129" s="12" t="inlineStr">
        <is>
          <t>448</t>
        </is>
      </c>
      <c r="B129" s="4" t="n">
        <v>4</v>
      </c>
      <c r="C129" s="5" t="n">
        <v>126</v>
      </c>
      <c r="D129" s="5" t="n">
        <v>144</v>
      </c>
      <c r="E129" s="5" t="n">
        <v>172</v>
      </c>
      <c r="F129" s="5" t="n">
        <v>174</v>
      </c>
      <c r="G129" s="5" t="n">
        <v>213</v>
      </c>
      <c r="H129" s="13">
        <f>IF(AND(ISNUMBER(C129),C129&gt;0,ISNUMBER(G129)),G129/C129-1,"")</f>
        <v/>
      </c>
    </row>
    <row r="130">
      <c r="A130" s="12" t="inlineStr">
        <is>
          <t>450</t>
        </is>
      </c>
      <c r="B130" s="4" t="n">
        <v>4</v>
      </c>
      <c r="C130" s="5" t="n">
        <v>89</v>
      </c>
      <c r="D130" s="5" t="n">
        <v>129</v>
      </c>
      <c r="E130" s="5" t="n">
        <v>125</v>
      </c>
      <c r="F130" s="5" t="n">
        <v>114</v>
      </c>
      <c r="G130" s="5" t="n">
        <v>112</v>
      </c>
      <c r="H130" s="13">
        <f>IF(AND(ISNUMBER(C130),C130&gt;0,ISNUMBER(G130)),G130/C130-1,"")</f>
        <v/>
      </c>
    </row>
    <row r="131">
      <c r="A131" s="12" t="inlineStr">
        <is>
          <t>451</t>
        </is>
      </c>
      <c r="B131" s="4" t="n">
        <v>4</v>
      </c>
      <c r="C131" s="5" t="n">
        <v>7</v>
      </c>
      <c r="D131" s="5" t="n">
        <v>16</v>
      </c>
      <c r="E131" s="5" t="n">
        <v>23</v>
      </c>
      <c r="F131" s="5" t="n">
        <v>30</v>
      </c>
      <c r="G131" s="5" t="n">
        <v>42</v>
      </c>
      <c r="H131" s="13">
        <f>IF(AND(ISNUMBER(C131),C131&gt;0,ISNUMBER(G131)),G131/C131-1,"")</f>
        <v/>
      </c>
    </row>
    <row r="132">
      <c r="A132" s="12" t="inlineStr">
        <is>
          <t>452</t>
        </is>
      </c>
      <c r="B132" s="4" t="n">
        <v>4</v>
      </c>
      <c r="C132" s="5" t="n">
        <v>190</v>
      </c>
      <c r="D132" s="5" t="n">
        <v>148</v>
      </c>
      <c r="E132" s="5" t="n">
        <v>161</v>
      </c>
      <c r="F132" s="5" t="n">
        <v>211</v>
      </c>
      <c r="G132" s="5" t="n">
        <v>232</v>
      </c>
      <c r="H132" s="13">
        <f>IF(AND(ISNUMBER(C132),C132&gt;0,ISNUMBER(G132)),G132/C132-1,"")</f>
        <v/>
      </c>
    </row>
    <row r="133">
      <c r="A133" s="12" t="inlineStr">
        <is>
          <t>454</t>
        </is>
      </c>
      <c r="B133" s="4" t="n">
        <v>4</v>
      </c>
      <c r="C133" s="5" t="n">
        <v>88</v>
      </c>
      <c r="D133" s="5" t="n"/>
      <c r="E133" s="5" t="n"/>
      <c r="F133" s="5" t="n"/>
      <c r="G133" s="5" t="n"/>
      <c r="H133" s="13">
        <f>IF(AND(ISNUMBER(C133),C133&gt;0,ISNUMBER(G133)),G133/C133-1,"")</f>
        <v/>
      </c>
    </row>
    <row r="134">
      <c r="A134" s="12" t="inlineStr">
        <is>
          <t>455</t>
        </is>
      </c>
      <c r="B134" s="4" t="n">
        <v>4</v>
      </c>
      <c r="C134" s="5" t="n">
        <v>15</v>
      </c>
      <c r="D134" s="5" t="n">
        <v>12</v>
      </c>
      <c r="E134" s="5" t="n">
        <v>7</v>
      </c>
      <c r="F134" s="5" t="n">
        <v>6</v>
      </c>
      <c r="G134" s="5" t="n">
        <v>19</v>
      </c>
      <c r="H134" s="13">
        <f>IF(AND(ISNUMBER(C134),C134&gt;0,ISNUMBER(G134)),G134/C134-1,"")</f>
        <v/>
      </c>
    </row>
    <row r="135">
      <c r="A135" s="12" t="inlineStr">
        <is>
          <t>471</t>
        </is>
      </c>
      <c r="B135" s="4" t="n">
        <v>4</v>
      </c>
      <c r="C135" s="5" t="n">
        <v>423</v>
      </c>
      <c r="D135" s="5" t="n">
        <v>408</v>
      </c>
      <c r="E135" s="5" t="n">
        <v>436</v>
      </c>
      <c r="F135" s="5" t="n">
        <v>422</v>
      </c>
      <c r="G135" s="5" t="n">
        <v>284</v>
      </c>
      <c r="H135" s="13">
        <f>IF(AND(ISNUMBER(C135),C135&gt;0,ISNUMBER(G135)),G135/C135-1,"")</f>
        <v/>
      </c>
    </row>
    <row r="136">
      <c r="A136" s="12" t="inlineStr">
        <is>
          <t>500</t>
        </is>
      </c>
      <c r="B136" s="4" t="n">
        <v>5</v>
      </c>
      <c r="C136" s="5" t="n">
        <v>751</v>
      </c>
      <c r="D136" s="5" t="n"/>
      <c r="E136" s="5" t="n"/>
      <c r="F136" s="5" t="n"/>
      <c r="G136" s="5" t="n"/>
      <c r="H136" s="13">
        <f>IF(AND(ISNUMBER(C136),C136&gt;0,ISNUMBER(G136)),G136/C136-1,"")</f>
        <v/>
      </c>
    </row>
    <row r="137">
      <c r="A137" s="12" t="inlineStr">
        <is>
          <t>502</t>
        </is>
      </c>
      <c r="B137" s="4" t="n">
        <v>5</v>
      </c>
      <c r="C137" s="5" t="n">
        <v>477</v>
      </c>
      <c r="D137" s="5" t="n">
        <v>633</v>
      </c>
      <c r="E137" s="5" t="n">
        <v>565</v>
      </c>
      <c r="F137" s="5" t="n">
        <v>506</v>
      </c>
      <c r="G137" s="5" t="n">
        <v>650</v>
      </c>
      <c r="H137" s="13">
        <f>IF(AND(ISNUMBER(C137),C137&gt;0,ISNUMBER(G137)),G137/C137-1,"")</f>
        <v/>
      </c>
    </row>
    <row r="138">
      <c r="A138" s="12" t="inlineStr">
        <is>
          <t>510</t>
        </is>
      </c>
      <c r="B138" s="4" t="n">
        <v>5</v>
      </c>
      <c r="C138" s="5" t="n">
        <v>106</v>
      </c>
      <c r="D138" s="5" t="n"/>
      <c r="E138" s="5" t="n"/>
      <c r="F138" s="5" t="n"/>
      <c r="G138" s="5" t="n"/>
      <c r="H138" s="13">
        <f>IF(AND(ISNUMBER(C138),C138&gt;0,ISNUMBER(G138)),G138/C138-1,"")</f>
        <v/>
      </c>
    </row>
    <row r="139">
      <c r="A139" s="12" t="inlineStr">
        <is>
          <t>511</t>
        </is>
      </c>
      <c r="B139" s="4" t="n">
        <v>5</v>
      </c>
      <c r="C139" s="5" t="n">
        <v>148</v>
      </c>
      <c r="D139" s="5" t="n"/>
      <c r="E139" s="5" t="n"/>
      <c r="F139" s="5" t="n"/>
      <c r="G139" s="5" t="n"/>
      <c r="H139" s="13">
        <f>IF(AND(ISNUMBER(C139),C139&gt;0,ISNUMBER(G139)),G139/C139-1,"")</f>
        <v/>
      </c>
    </row>
    <row r="140">
      <c r="A140" s="12" t="inlineStr">
        <is>
          <t>515</t>
        </is>
      </c>
      <c r="B140" s="4" t="n">
        <v>5</v>
      </c>
      <c r="C140" s="5" t="n"/>
      <c r="D140" s="5" t="n">
        <v>809</v>
      </c>
      <c r="E140" s="5" t="n">
        <v>747</v>
      </c>
      <c r="F140" s="5" t="n">
        <v>719</v>
      </c>
      <c r="G140" s="5" t="n">
        <v>680</v>
      </c>
      <c r="H140" s="13">
        <f>IF(AND(ISNUMBER(C140),C140&gt;0,ISNUMBER(G140)),G140/C140-1,"")</f>
        <v/>
      </c>
    </row>
    <row r="141">
      <c r="A141" s="12" t="inlineStr">
        <is>
          <t>520</t>
        </is>
      </c>
      <c r="B141" s="4" t="n">
        <v>5</v>
      </c>
      <c r="C141" s="5" t="n">
        <v>187</v>
      </c>
      <c r="D141" s="5" t="n"/>
      <c r="E141" s="5" t="n"/>
      <c r="F141" s="5" t="n"/>
      <c r="G141" s="5" t="n"/>
      <c r="H141" s="13">
        <f>IF(AND(ISNUMBER(C141),C141&gt;0,ISNUMBER(G141)),G141/C141-1,"")</f>
        <v/>
      </c>
    </row>
    <row r="142">
      <c r="A142" s="12" t="inlineStr">
        <is>
          <t>525</t>
        </is>
      </c>
      <c r="B142" s="4" t="n">
        <v>5</v>
      </c>
      <c r="C142" s="5" t="n"/>
      <c r="D142" s="5" t="n">
        <v>395</v>
      </c>
      <c r="E142" s="5" t="n">
        <v>377</v>
      </c>
      <c r="F142" s="5" t="n">
        <v>398</v>
      </c>
      <c r="G142" s="5" t="n">
        <v>484</v>
      </c>
      <c r="H142" s="13">
        <f>IF(AND(ISNUMBER(C142),C142&gt;0,ISNUMBER(G142)),G142/C142-1,"")</f>
        <v/>
      </c>
    </row>
    <row r="143">
      <c r="A143" s="12" t="inlineStr">
        <is>
          <t>530</t>
        </is>
      </c>
      <c r="B143" s="4" t="n">
        <v>5</v>
      </c>
      <c r="C143" s="5" t="n">
        <v>460</v>
      </c>
      <c r="D143" s="5" t="n"/>
      <c r="E143" s="5" t="n"/>
      <c r="F143" s="5" t="n"/>
      <c r="G143" s="5" t="n"/>
      <c r="H143" s="13">
        <f>IF(AND(ISNUMBER(C143),C143&gt;0,ISNUMBER(G143)),G143/C143-1,"")</f>
        <v/>
      </c>
    </row>
    <row r="144">
      <c r="A144" s="12" t="inlineStr">
        <is>
          <t>535</t>
        </is>
      </c>
      <c r="B144" s="4" t="n">
        <v>5</v>
      </c>
      <c r="C144" s="5" t="n"/>
      <c r="D144" s="5" t="n">
        <v>392</v>
      </c>
      <c r="E144" s="5" t="n">
        <v>423</v>
      </c>
      <c r="F144" s="5" t="n">
        <v>264</v>
      </c>
      <c r="G144" s="5" t="n">
        <v>311</v>
      </c>
      <c r="H144" s="13">
        <f>IF(AND(ISNUMBER(C144),C144&gt;0,ISNUMBER(G144)),G144/C144-1,"")</f>
        <v/>
      </c>
    </row>
    <row r="145">
      <c r="A145" s="12" t="inlineStr">
        <is>
          <t>540</t>
        </is>
      </c>
      <c r="B145" s="4" t="n">
        <v>5</v>
      </c>
      <c r="C145" s="5" t="n">
        <v>133</v>
      </c>
      <c r="D145" s="5" t="n">
        <v>141</v>
      </c>
      <c r="E145" s="5" t="n">
        <v>82</v>
      </c>
      <c r="F145" s="5" t="n">
        <v>102</v>
      </c>
      <c r="G145" s="5" t="n">
        <v>123</v>
      </c>
      <c r="H145" s="13">
        <f>IF(AND(ISNUMBER(C145),C145&gt;0,ISNUMBER(G145)),G145/C145-1,"")</f>
        <v/>
      </c>
    </row>
    <row r="146">
      <c r="A146" s="12" t="inlineStr">
        <is>
          <t>555</t>
        </is>
      </c>
      <c r="B146" s="4" t="n">
        <v>5</v>
      </c>
      <c r="C146" s="5" t="n"/>
      <c r="D146" s="5" t="n">
        <v>106</v>
      </c>
      <c r="E146" s="5" t="n">
        <v>172</v>
      </c>
      <c r="F146" s="5" t="n">
        <v>159</v>
      </c>
      <c r="G146" s="5" t="n">
        <v>174</v>
      </c>
      <c r="H146" s="13">
        <f>IF(AND(ISNUMBER(C146),C146&gt;0,ISNUMBER(G146)),G146/C146-1,"")</f>
        <v/>
      </c>
    </row>
    <row r="147">
      <c r="A147" s="12" t="inlineStr">
        <is>
          <t>560</t>
        </is>
      </c>
      <c r="B147" s="4" t="n">
        <v>5</v>
      </c>
      <c r="C147" s="5" t="n">
        <v>263</v>
      </c>
      <c r="D147" s="5" t="n"/>
      <c r="E147" s="5" t="n"/>
      <c r="F147" s="5" t="n"/>
      <c r="G147" s="5" t="n"/>
      <c r="H147" s="13">
        <f>IF(AND(ISNUMBER(C147),C147&gt;0,ISNUMBER(G147)),G147/C147-1,"")</f>
        <v/>
      </c>
    </row>
    <row r="148">
      <c r="A148" s="12" t="inlineStr">
        <is>
          <t>565</t>
        </is>
      </c>
      <c r="B148" s="4" t="n">
        <v>5</v>
      </c>
      <c r="C148" s="5" t="n"/>
      <c r="D148" s="5" t="n">
        <v>22</v>
      </c>
      <c r="E148" s="5" t="n">
        <v>3</v>
      </c>
      <c r="F148" s="5" t="n">
        <v>9</v>
      </c>
      <c r="G148" s="5" t="n">
        <v>14</v>
      </c>
      <c r="H148" s="13">
        <f>IF(AND(ISNUMBER(C148),C148&gt;0,ISNUMBER(G148)),G148/C148-1,"")</f>
        <v/>
      </c>
    </row>
    <row r="149">
      <c r="A149" s="12" t="inlineStr">
        <is>
          <t>570</t>
        </is>
      </c>
      <c r="B149" s="4" t="n">
        <v>5</v>
      </c>
      <c r="C149" s="5" t="n">
        <v>312</v>
      </c>
      <c r="D149" s="5" t="n"/>
      <c r="E149" s="5" t="n"/>
      <c r="F149" s="5" t="n"/>
      <c r="G149" s="5" t="n"/>
      <c r="H149" s="13">
        <f>IF(AND(ISNUMBER(C149),C149&gt;0,ISNUMBER(G149)),G149/C149-1,"")</f>
        <v/>
      </c>
    </row>
    <row r="150">
      <c r="A150" s="12" t="inlineStr">
        <is>
          <t>575</t>
        </is>
      </c>
      <c r="B150" s="4" t="n">
        <v>5</v>
      </c>
      <c r="C150" s="5" t="n">
        <v>660</v>
      </c>
      <c r="D150" s="5" t="n">
        <v>654</v>
      </c>
      <c r="E150" s="5" t="n">
        <v>612</v>
      </c>
      <c r="F150" s="5" t="n">
        <v>659</v>
      </c>
      <c r="G150" s="5" t="n">
        <v>609</v>
      </c>
      <c r="H150" s="13">
        <f>IF(AND(ISNUMBER(C150),C150&gt;0,ISNUMBER(G150)),G150/C150-1,"")</f>
        <v/>
      </c>
    </row>
    <row r="151">
      <c r="A151" s="12" t="inlineStr">
        <is>
          <t>580</t>
        </is>
      </c>
      <c r="B151" s="4" t="n">
        <v>5</v>
      </c>
      <c r="C151" s="5" t="n">
        <v>197</v>
      </c>
      <c r="D151" s="5" t="n">
        <v>226</v>
      </c>
      <c r="E151" s="5" t="n">
        <v>204</v>
      </c>
      <c r="F151" s="5" t="n">
        <v>217</v>
      </c>
      <c r="G151" s="5" t="n">
        <v>231</v>
      </c>
      <c r="H151" s="13">
        <f>IF(AND(ISNUMBER(C151),C151&gt;0,ISNUMBER(G151)),G151/C151-1,"")</f>
        <v/>
      </c>
    </row>
    <row r="152">
      <c r="A152" s="12" t="inlineStr">
        <is>
          <t>590</t>
        </is>
      </c>
      <c r="B152" s="4" t="n">
        <v>5</v>
      </c>
      <c r="C152" s="5" t="n">
        <v>1001</v>
      </c>
      <c r="D152" s="5" t="n">
        <v>1034</v>
      </c>
      <c r="E152" s="5" t="n">
        <v>1033</v>
      </c>
      <c r="F152" s="5" t="n">
        <v>957</v>
      </c>
      <c r="G152" s="5" t="n">
        <v>1003</v>
      </c>
      <c r="H152" s="13">
        <f>IF(AND(ISNUMBER(C152),C152&gt;0,ISNUMBER(G152)),G152/C152-1,"")</f>
        <v/>
      </c>
    </row>
    <row r="153">
      <c r="A153" s="12" t="inlineStr">
        <is>
          <t>600</t>
        </is>
      </c>
      <c r="B153" s="4" t="n">
        <v>6</v>
      </c>
      <c r="C153" s="5" t="n">
        <v>1352</v>
      </c>
      <c r="D153" s="5" t="n">
        <v>999</v>
      </c>
      <c r="E153" s="5" t="n">
        <v>1021</v>
      </c>
      <c r="F153" s="5" t="n">
        <v>865</v>
      </c>
      <c r="G153" s="5" t="n">
        <v>783</v>
      </c>
      <c r="H153" s="13">
        <f>IF(AND(ISNUMBER(C153),C153&gt;0,ISNUMBER(G153)),G153/C153-1,"")</f>
        <v/>
      </c>
    </row>
    <row r="154">
      <c r="A154" s="12" t="inlineStr">
        <is>
          <t>620</t>
        </is>
      </c>
      <c r="B154" s="4" t="n">
        <v>6</v>
      </c>
      <c r="C154" s="5" t="n">
        <v>958</v>
      </c>
      <c r="D154" s="5" t="n">
        <v>556</v>
      </c>
      <c r="E154" s="5" t="n">
        <v>474</v>
      </c>
      <c r="F154" s="5" t="n">
        <v>332</v>
      </c>
      <c r="G154" s="5" t="n">
        <v>392</v>
      </c>
      <c r="H154" s="13">
        <f>IF(AND(ISNUMBER(C154),C154&gt;0,ISNUMBER(G154)),G154/C154-1,"")</f>
        <v/>
      </c>
    </row>
    <row r="155">
      <c r="A155" s="12" t="inlineStr">
        <is>
          <t>621</t>
        </is>
      </c>
      <c r="B155" s="4" t="n">
        <v>6</v>
      </c>
      <c r="C155" s="5" t="n">
        <v>403</v>
      </c>
      <c r="D155" s="5" t="n">
        <v>218</v>
      </c>
      <c r="E155" s="5" t="n">
        <v>242</v>
      </c>
      <c r="F155" s="5" t="n">
        <v>260</v>
      </c>
      <c r="G155" s="5" t="n">
        <v>229</v>
      </c>
      <c r="H155" s="13">
        <f>IF(AND(ISNUMBER(C155),C155&gt;0,ISNUMBER(G155)),G155/C155-1,"")</f>
        <v/>
      </c>
    </row>
    <row r="156">
      <c r="A156" s="12" t="inlineStr">
        <is>
          <t>622</t>
        </is>
      </c>
      <c r="B156" s="4" t="n">
        <v>6</v>
      </c>
      <c r="C156" s="5" t="n">
        <v>250</v>
      </c>
      <c r="D156" s="5" t="n">
        <v>124</v>
      </c>
      <c r="E156" s="5" t="n">
        <v>167</v>
      </c>
      <c r="F156" s="5" t="n">
        <v>127</v>
      </c>
      <c r="G156" s="5" t="n">
        <v>75</v>
      </c>
      <c r="H156" s="13">
        <f>IF(AND(ISNUMBER(C156),C156&gt;0,ISNUMBER(G156)),G156/C156-1,"")</f>
        <v/>
      </c>
    </row>
    <row r="157">
      <c r="A157" s="12" t="inlineStr">
        <is>
          <t>630</t>
        </is>
      </c>
      <c r="B157" s="4" t="n">
        <v>6</v>
      </c>
      <c r="C157" s="5" t="n">
        <v>1101</v>
      </c>
      <c r="D157" s="5" t="n">
        <v>811</v>
      </c>
      <c r="E157" s="5" t="n">
        <v>954</v>
      </c>
      <c r="F157" s="5" t="n">
        <v>654</v>
      </c>
      <c r="G157" s="5" t="n">
        <v>598</v>
      </c>
      <c r="H157" s="13">
        <f>IF(AND(ISNUMBER(C157),C157&gt;0,ISNUMBER(G157)),G157/C157-1,"")</f>
        <v/>
      </c>
    </row>
    <row r="158">
      <c r="A158" s="12" t="inlineStr">
        <is>
          <t>631</t>
        </is>
      </c>
      <c r="B158" s="4" t="n">
        <v>6</v>
      </c>
      <c r="C158" s="5" t="n">
        <v>112</v>
      </c>
      <c r="D158" s="5" t="n"/>
      <c r="E158" s="5" t="n"/>
      <c r="F158" s="5" t="n"/>
      <c r="G158" s="5" t="n"/>
      <c r="H158" s="13">
        <f>IF(AND(ISNUMBER(C158),C158&gt;0,ISNUMBER(G158)),G158/C158-1,"")</f>
        <v/>
      </c>
    </row>
    <row r="159">
      <c r="A159" s="12" t="inlineStr">
        <is>
          <t>632</t>
        </is>
      </c>
      <c r="B159" s="4" t="n">
        <v>6</v>
      </c>
      <c r="C159" s="5" t="n">
        <v>207</v>
      </c>
      <c r="D159" s="5" t="n"/>
      <c r="E159" s="5" t="n"/>
      <c r="F159" s="5" t="n"/>
      <c r="G159" s="5" t="n"/>
      <c r="H159" s="13">
        <f>IF(AND(ISNUMBER(C159),C159&gt;0,ISNUMBER(G159)),G159/C159-1,"")</f>
        <v/>
      </c>
    </row>
    <row r="160">
      <c r="A160" s="12" t="inlineStr">
        <is>
          <t>640</t>
        </is>
      </c>
      <c r="B160" s="4" t="n">
        <v>6</v>
      </c>
      <c r="C160" s="5" t="n">
        <v>1962</v>
      </c>
      <c r="D160" s="5" t="n">
        <v>1811</v>
      </c>
      <c r="E160" s="5" t="n">
        <v>2230</v>
      </c>
      <c r="F160" s="5" t="n">
        <v>1678</v>
      </c>
      <c r="G160" s="5" t="n">
        <v>1225</v>
      </c>
      <c r="H160" s="13">
        <f>IF(AND(ISNUMBER(C160),C160&gt;0,ISNUMBER(G160)),G160/C160-1,"")</f>
        <v/>
      </c>
    </row>
    <row r="161">
      <c r="A161" s="12" t="inlineStr">
        <is>
          <t>650</t>
        </is>
      </c>
      <c r="B161" s="4" t="n">
        <v>6</v>
      </c>
      <c r="C161" s="5" t="n">
        <v>2002</v>
      </c>
      <c r="D161" s="5" t="n">
        <v>1443</v>
      </c>
      <c r="E161" s="5" t="n">
        <v>1334</v>
      </c>
      <c r="F161" s="5" t="n">
        <v>981</v>
      </c>
      <c r="G161" s="5" t="n">
        <v>843</v>
      </c>
      <c r="H161" s="13">
        <f>IF(AND(ISNUMBER(C161),C161&gt;0,ISNUMBER(G161)),G161/C161-1,"")</f>
        <v/>
      </c>
    </row>
    <row r="162">
      <c r="A162" s="12" t="inlineStr">
        <is>
          <t>652</t>
        </is>
      </c>
      <c r="B162" s="4" t="n">
        <v>6</v>
      </c>
      <c r="C162" s="5" t="n">
        <v>156</v>
      </c>
      <c r="D162" s="5" t="n">
        <v>104</v>
      </c>
      <c r="E162" s="5" t="n">
        <v>87</v>
      </c>
      <c r="F162" s="5" t="n">
        <v>64</v>
      </c>
      <c r="G162" s="5" t="n">
        <v>52</v>
      </c>
      <c r="H162" s="13">
        <f>IF(AND(ISNUMBER(C162),C162&gt;0,ISNUMBER(G162)),G162/C162-1,"")</f>
        <v/>
      </c>
    </row>
    <row r="163">
      <c r="A163" s="12" t="inlineStr">
        <is>
          <t>670</t>
        </is>
      </c>
      <c r="B163" s="4" t="n">
        <v>6</v>
      </c>
      <c r="C163" s="5" t="n">
        <v>2917</v>
      </c>
      <c r="D163" s="5" t="n">
        <v>2306</v>
      </c>
      <c r="E163" s="5" t="n">
        <v>1923</v>
      </c>
      <c r="F163" s="5" t="n">
        <v>1200</v>
      </c>
      <c r="G163" s="5" t="n">
        <v>955</v>
      </c>
      <c r="H163" s="13">
        <f>IF(AND(ISNUMBER(C163),C163&gt;0,ISNUMBER(G163)),G163/C163-1,"")</f>
        <v/>
      </c>
    </row>
    <row r="164">
      <c r="A164" s="12" t="inlineStr">
        <is>
          <t>690</t>
        </is>
      </c>
      <c r="B164" s="4" t="n">
        <v>6</v>
      </c>
      <c r="C164" s="5" t="n">
        <v>2362</v>
      </c>
      <c r="D164" s="5" t="n">
        <v>1692</v>
      </c>
      <c r="E164" s="5" t="n">
        <v>1520</v>
      </c>
      <c r="F164" s="5" t="n">
        <v>1315</v>
      </c>
      <c r="G164" s="5" t="n">
        <v>1194</v>
      </c>
      <c r="H164" s="13">
        <f>IF(AND(ISNUMBER(C164),C164&gt;0,ISNUMBER(G164)),G164/C164-1,"")</f>
        <v/>
      </c>
    </row>
    <row r="165">
      <c r="A165" s="12" t="inlineStr">
        <is>
          <t>700</t>
        </is>
      </c>
      <c r="B165" s="4" t="n">
        <v>7</v>
      </c>
      <c r="C165" s="5" t="n">
        <v>2100</v>
      </c>
      <c r="D165" s="5" t="n">
        <v>1316</v>
      </c>
      <c r="E165" s="5" t="n">
        <v>1163</v>
      </c>
      <c r="F165" s="5" t="n">
        <v>835</v>
      </c>
      <c r="G165" s="5" t="n">
        <v>1015</v>
      </c>
      <c r="H165" s="13">
        <f>IF(AND(ISNUMBER(C165),C165&gt;0,ISNUMBER(G165)),G165/C165-1,"")</f>
        <v/>
      </c>
    </row>
    <row r="166">
      <c r="A166" s="12" t="inlineStr">
        <is>
          <t>701</t>
        </is>
      </c>
      <c r="B166" s="4" t="n">
        <v>7</v>
      </c>
      <c r="C166" s="5" t="n">
        <v>1561</v>
      </c>
      <c r="D166" s="5" t="n">
        <v>1376</v>
      </c>
      <c r="E166" s="5" t="n">
        <v>1038</v>
      </c>
      <c r="F166" s="5" t="n">
        <v>1181</v>
      </c>
      <c r="G166" s="5" t="n">
        <v>920</v>
      </c>
      <c r="H166" s="13">
        <f>IF(AND(ISNUMBER(C166),C166&gt;0,ISNUMBER(G166)),G166/C166-1,"")</f>
        <v/>
      </c>
    </row>
    <row r="167">
      <c r="A167" s="12" t="inlineStr">
        <is>
          <t>702</t>
        </is>
      </c>
      <c r="B167" s="4" t="n">
        <v>7</v>
      </c>
      <c r="C167" s="5" t="n">
        <v>797</v>
      </c>
      <c r="D167" s="5" t="n">
        <v>875</v>
      </c>
      <c r="E167" s="5" t="n">
        <v>798</v>
      </c>
      <c r="F167" s="5" t="n">
        <v>819</v>
      </c>
      <c r="G167" s="5" t="n">
        <v>631</v>
      </c>
      <c r="H167" s="13">
        <f>IF(AND(ISNUMBER(C167),C167&gt;0,ISNUMBER(G167)),G167/C167-1,"")</f>
        <v/>
      </c>
    </row>
    <row r="168">
      <c r="A168" s="12" t="inlineStr">
        <is>
          <t>703</t>
        </is>
      </c>
      <c r="B168" s="4" t="n">
        <v>7</v>
      </c>
      <c r="C168" s="5" t="n">
        <v>1917</v>
      </c>
      <c r="D168" s="5" t="n">
        <v>1665</v>
      </c>
      <c r="E168" s="5" t="n">
        <v>1448</v>
      </c>
      <c r="F168" s="5" t="n">
        <v>1421</v>
      </c>
      <c r="G168" s="5" t="n">
        <v>1277</v>
      </c>
      <c r="H168" s="13">
        <f>IF(AND(ISNUMBER(C168),C168&gt;0,ISNUMBER(G168)),G168/C168-1,"")</f>
        <v/>
      </c>
    </row>
    <row r="169">
      <c r="A169" s="12" t="inlineStr">
        <is>
          <t>704</t>
        </is>
      </c>
      <c r="B169" s="4" t="n">
        <v>7</v>
      </c>
      <c r="C169" s="5" t="n">
        <v>2295</v>
      </c>
      <c r="D169" s="5" t="n">
        <v>1780</v>
      </c>
      <c r="E169" s="5" t="n">
        <v>1703</v>
      </c>
      <c r="F169" s="5" t="n">
        <v>1572</v>
      </c>
      <c r="G169" s="5" t="n">
        <v>1770</v>
      </c>
      <c r="H169" s="13">
        <f>IF(AND(ISNUMBER(C169),C169&gt;0,ISNUMBER(G169)),G169/C169-1,"")</f>
        <v/>
      </c>
    </row>
    <row r="170">
      <c r="A170" s="12" t="inlineStr">
        <is>
          <t>705</t>
        </is>
      </c>
      <c r="B170" s="4" t="n">
        <v>7</v>
      </c>
      <c r="C170" s="5" t="n">
        <v>2561</v>
      </c>
      <c r="D170" s="5" t="n">
        <v>1759</v>
      </c>
      <c r="E170" s="5" t="n">
        <v>1294</v>
      </c>
      <c r="F170" s="5" t="n">
        <v>1374</v>
      </c>
      <c r="G170" s="5" t="n">
        <v>1463</v>
      </c>
      <c r="H170" s="13">
        <f>IF(AND(ISNUMBER(C170),C170&gt;0,ISNUMBER(G170)),G170/C170-1,"")</f>
        <v/>
      </c>
    </row>
    <row r="173">
      <c r="A173" s="7" t="inlineStr">
        <is>
          <t>Whitetail</t>
        </is>
      </c>
    </row>
    <row r="174">
      <c r="A174" s="3" t="inlineStr">
        <is>
          <t>District</t>
        </is>
      </c>
      <c r="B174" s="3" t="inlineStr">
        <is>
          <t>Region</t>
        </is>
      </c>
      <c r="C174" s="3" t="inlineStr">
        <is>
          <t>2021</t>
        </is>
      </c>
      <c r="D174" s="3" t="inlineStr">
        <is>
          <t>2022</t>
        </is>
      </c>
      <c r="E174" s="3" t="inlineStr">
        <is>
          <t>2023</t>
        </is>
      </c>
      <c r="F174" s="3" t="inlineStr">
        <is>
          <t>2024</t>
        </is>
      </c>
      <c r="G174" s="3" t="inlineStr">
        <is>
          <t>2025</t>
        </is>
      </c>
      <c r="H174" s="3" t="inlineStr">
        <is>
          <t>Change</t>
        </is>
      </c>
    </row>
    <row r="175">
      <c r="A175" s="12" t="inlineStr">
        <is>
          <t>100</t>
        </is>
      </c>
      <c r="B175" s="4" t="n">
        <v>1</v>
      </c>
      <c r="C175" s="5" t="n">
        <v>1272</v>
      </c>
      <c r="D175" s="5" t="n">
        <v>1127</v>
      </c>
      <c r="E175" s="5" t="n">
        <v>1035</v>
      </c>
      <c r="F175" s="5" t="n">
        <v>1034</v>
      </c>
      <c r="G175" s="5" t="n">
        <v>1021</v>
      </c>
      <c r="H175" s="13">
        <f>IF(AND(ISNUMBER(C175),C175&gt;0,ISNUMBER(G175)),G175/C175-1,"")</f>
        <v/>
      </c>
    </row>
    <row r="176">
      <c r="A176" s="12" t="inlineStr">
        <is>
          <t>101</t>
        </is>
      </c>
      <c r="B176" s="4" t="n">
        <v>1</v>
      </c>
      <c r="C176" s="5" t="n">
        <v>896</v>
      </c>
      <c r="D176" s="5" t="n">
        <v>1126</v>
      </c>
      <c r="E176" s="5" t="n">
        <v>1176</v>
      </c>
      <c r="F176" s="5" t="n">
        <v>1441</v>
      </c>
      <c r="G176" s="5" t="n">
        <v>1066</v>
      </c>
      <c r="H176" s="13">
        <f>IF(AND(ISNUMBER(C176),C176&gt;0,ISNUMBER(G176)),G176/C176-1,"")</f>
        <v/>
      </c>
    </row>
    <row r="177">
      <c r="A177" s="12" t="inlineStr">
        <is>
          <t>102</t>
        </is>
      </c>
      <c r="B177" s="4" t="n">
        <v>1</v>
      </c>
      <c r="C177" s="5" t="n">
        <v>766</v>
      </c>
      <c r="D177" s="5" t="n"/>
      <c r="E177" s="5" t="n"/>
      <c r="F177" s="5" t="n"/>
      <c r="G177" s="5" t="n"/>
      <c r="H177" s="13">
        <f>IF(AND(ISNUMBER(C177),C177&gt;0,ISNUMBER(G177)),G177/C177-1,"")</f>
        <v/>
      </c>
    </row>
    <row r="178">
      <c r="A178" s="12" t="inlineStr">
        <is>
          <t>103</t>
        </is>
      </c>
      <c r="B178" s="4" t="n">
        <v>1</v>
      </c>
      <c r="C178" s="5" t="n">
        <v>1019</v>
      </c>
      <c r="D178" s="5" t="n">
        <v>1575</v>
      </c>
      <c r="E178" s="5" t="n">
        <v>1771</v>
      </c>
      <c r="F178" s="5" t="n">
        <v>1760</v>
      </c>
      <c r="G178" s="5" t="n">
        <v>1503</v>
      </c>
      <c r="H178" s="13">
        <f>IF(AND(ISNUMBER(C178),C178&gt;0,ISNUMBER(G178)),G178/C178-1,"")</f>
        <v/>
      </c>
    </row>
    <row r="179">
      <c r="A179" s="12" t="inlineStr">
        <is>
          <t>104</t>
        </is>
      </c>
      <c r="B179" s="4" t="n">
        <v>1</v>
      </c>
      <c r="C179" s="5" t="n">
        <v>464</v>
      </c>
      <c r="D179" s="5" t="n">
        <v>480</v>
      </c>
      <c r="E179" s="5" t="n">
        <v>450</v>
      </c>
      <c r="F179" s="5" t="n">
        <v>551</v>
      </c>
      <c r="G179" s="5" t="n">
        <v>469</v>
      </c>
      <c r="H179" s="13">
        <f>IF(AND(ISNUMBER(C179),C179&gt;0,ISNUMBER(G179)),G179/C179-1,"")</f>
        <v/>
      </c>
    </row>
    <row r="180">
      <c r="A180" s="12" t="inlineStr">
        <is>
          <t>109</t>
        </is>
      </c>
      <c r="B180" s="4" t="n">
        <v>1</v>
      </c>
      <c r="C180" s="5" t="n">
        <v>238</v>
      </c>
      <c r="D180" s="5" t="n"/>
      <c r="E180" s="5" t="n"/>
      <c r="F180" s="5" t="n"/>
      <c r="G180" s="5" t="n"/>
      <c r="H180" s="13">
        <f>IF(AND(ISNUMBER(C180),C180&gt;0,ISNUMBER(G180)),G180/C180-1,"")</f>
        <v/>
      </c>
    </row>
    <row r="181">
      <c r="A181" s="12" t="inlineStr">
        <is>
          <t>110</t>
        </is>
      </c>
      <c r="B181" s="4" t="n">
        <v>1</v>
      </c>
      <c r="C181" s="5" t="n">
        <v>315</v>
      </c>
      <c r="D181" s="5" t="n">
        <v>408</v>
      </c>
      <c r="E181" s="5" t="n">
        <v>345</v>
      </c>
      <c r="F181" s="5" t="n">
        <v>479</v>
      </c>
      <c r="G181" s="5" t="n">
        <v>427</v>
      </c>
      <c r="H181" s="13">
        <f>IF(AND(ISNUMBER(C181),C181&gt;0,ISNUMBER(G181)),G181/C181-1,"")</f>
        <v/>
      </c>
    </row>
    <row r="182">
      <c r="A182" s="12" t="inlineStr">
        <is>
          <t>120</t>
        </is>
      </c>
      <c r="B182" s="4" t="n">
        <v>1</v>
      </c>
      <c r="C182" s="5" t="n">
        <v>620</v>
      </c>
      <c r="D182" s="5" t="n">
        <v>662</v>
      </c>
      <c r="E182" s="5" t="n">
        <v>657</v>
      </c>
      <c r="F182" s="5" t="n">
        <v>691</v>
      </c>
      <c r="G182" s="5" t="n">
        <v>642</v>
      </c>
      <c r="H182" s="13">
        <f>IF(AND(ISNUMBER(C182),C182&gt;0,ISNUMBER(G182)),G182/C182-1,"")</f>
        <v/>
      </c>
    </row>
    <row r="183">
      <c r="A183" s="12" t="inlineStr">
        <is>
          <t>121</t>
        </is>
      </c>
      <c r="B183" s="4" t="n">
        <v>1</v>
      </c>
      <c r="C183" s="5" t="n">
        <v>753</v>
      </c>
      <c r="D183" s="5" t="n">
        <v>742</v>
      </c>
      <c r="E183" s="5" t="n">
        <v>808</v>
      </c>
      <c r="F183" s="5" t="n">
        <v>937</v>
      </c>
      <c r="G183" s="5" t="n">
        <v>979</v>
      </c>
      <c r="H183" s="13">
        <f>IF(AND(ISNUMBER(C183),C183&gt;0,ISNUMBER(G183)),G183/C183-1,"")</f>
        <v/>
      </c>
    </row>
    <row r="184">
      <c r="A184" s="12" t="inlineStr">
        <is>
          <t>122</t>
        </is>
      </c>
      <c r="B184" s="4" t="n">
        <v>1</v>
      </c>
      <c r="C184" s="5" t="n">
        <v>478</v>
      </c>
      <c r="D184" s="5" t="n">
        <v>504</v>
      </c>
      <c r="E184" s="5" t="n">
        <v>514</v>
      </c>
      <c r="F184" s="5" t="n">
        <v>595</v>
      </c>
      <c r="G184" s="5" t="n">
        <v>634</v>
      </c>
      <c r="H184" s="13">
        <f>IF(AND(ISNUMBER(C184),C184&gt;0,ISNUMBER(G184)),G184/C184-1,"")</f>
        <v/>
      </c>
    </row>
    <row r="185">
      <c r="A185" s="12" t="inlineStr">
        <is>
          <t>123</t>
        </is>
      </c>
      <c r="B185" s="4" t="n">
        <v>1</v>
      </c>
      <c r="C185" s="5" t="n">
        <v>107</v>
      </c>
      <c r="D185" s="5" t="n">
        <v>96</v>
      </c>
      <c r="E185" s="5" t="n">
        <v>134</v>
      </c>
      <c r="F185" s="5" t="n">
        <v>163</v>
      </c>
      <c r="G185" s="5" t="n">
        <v>161</v>
      </c>
      <c r="H185" s="13">
        <f>IF(AND(ISNUMBER(C185),C185&gt;0,ISNUMBER(G185)),G185/C185-1,"")</f>
        <v/>
      </c>
    </row>
    <row r="186">
      <c r="A186" s="12" t="inlineStr">
        <is>
          <t>124</t>
        </is>
      </c>
      <c r="B186" s="4" t="n">
        <v>1</v>
      </c>
      <c r="C186" s="5" t="n">
        <v>99</v>
      </c>
      <c r="D186" s="5" t="n">
        <v>87</v>
      </c>
      <c r="E186" s="5" t="n">
        <v>114</v>
      </c>
      <c r="F186" s="5" t="n">
        <v>123</v>
      </c>
      <c r="G186" s="5" t="n">
        <v>137</v>
      </c>
      <c r="H186" s="13">
        <f>IF(AND(ISNUMBER(C186),C186&gt;0,ISNUMBER(G186)),G186/C186-1,"")</f>
        <v/>
      </c>
    </row>
    <row r="187">
      <c r="A187" s="12" t="inlineStr">
        <is>
          <t>130</t>
        </is>
      </c>
      <c r="B187" s="4" t="n">
        <v>1</v>
      </c>
      <c r="C187" s="5" t="n">
        <v>550</v>
      </c>
      <c r="D187" s="5" t="n">
        <v>522</v>
      </c>
      <c r="E187" s="5" t="n">
        <v>534</v>
      </c>
      <c r="F187" s="5" t="n">
        <v>568</v>
      </c>
      <c r="G187" s="5" t="n">
        <v>605</v>
      </c>
      <c r="H187" s="13">
        <f>IF(AND(ISNUMBER(C187),C187&gt;0,ISNUMBER(G187)),G187/C187-1,"")</f>
        <v/>
      </c>
    </row>
    <row r="188">
      <c r="A188" s="12" t="inlineStr">
        <is>
          <t>140</t>
        </is>
      </c>
      <c r="B188" s="4" t="n">
        <v>1</v>
      </c>
      <c r="C188" s="5" t="n">
        <v>152</v>
      </c>
      <c r="D188" s="5" t="n">
        <v>105</v>
      </c>
      <c r="E188" s="5" t="n">
        <v>134</v>
      </c>
      <c r="F188" s="5" t="n">
        <v>180</v>
      </c>
      <c r="G188" s="5" t="n">
        <v>124</v>
      </c>
      <c r="H188" s="13">
        <f>IF(AND(ISNUMBER(C188),C188&gt;0,ISNUMBER(G188)),G188/C188-1,"")</f>
        <v/>
      </c>
    </row>
    <row r="189">
      <c r="A189" s="12" t="inlineStr">
        <is>
          <t>141</t>
        </is>
      </c>
      <c r="B189" s="4" t="n">
        <v>1</v>
      </c>
      <c r="C189" s="5" t="n">
        <v>8</v>
      </c>
      <c r="D189" s="5" t="n">
        <v>3</v>
      </c>
      <c r="E189" s="5" t="n">
        <v>7</v>
      </c>
      <c r="F189" s="5" t="n">
        <v>19</v>
      </c>
      <c r="G189" s="5" t="n">
        <v>18</v>
      </c>
      <c r="H189" s="13">
        <f>IF(AND(ISNUMBER(C189),C189&gt;0,ISNUMBER(G189)),G189/C189-1,"")</f>
        <v/>
      </c>
    </row>
    <row r="190">
      <c r="A190" s="12" t="inlineStr">
        <is>
          <t>150</t>
        </is>
      </c>
      <c r="B190" s="4" t="n">
        <v>1</v>
      </c>
      <c r="C190" s="5" t="n">
        <v>20</v>
      </c>
      <c r="D190" s="5" t="n">
        <v>30</v>
      </c>
      <c r="E190" s="5" t="n">
        <v>23</v>
      </c>
      <c r="F190" s="5" t="n">
        <v>9</v>
      </c>
      <c r="G190" s="5" t="n">
        <v>34</v>
      </c>
      <c r="H190" s="13">
        <f>IF(AND(ISNUMBER(C190),C190&gt;0,ISNUMBER(G190)),G190/C190-1,"")</f>
        <v/>
      </c>
    </row>
    <row r="191">
      <c r="A191" s="12" t="inlineStr">
        <is>
          <t>170</t>
        </is>
      </c>
      <c r="B191" s="4" t="n">
        <v>1</v>
      </c>
      <c r="C191" s="5" t="n">
        <v>1428</v>
      </c>
      <c r="D191" s="5" t="n">
        <v>1471</v>
      </c>
      <c r="E191" s="5" t="n">
        <v>1328</v>
      </c>
      <c r="F191" s="5" t="n">
        <v>1790</v>
      </c>
      <c r="G191" s="5" t="n">
        <v>1750</v>
      </c>
      <c r="H191" s="13">
        <f>IF(AND(ISNUMBER(C191),C191&gt;0,ISNUMBER(G191)),G191/C191-1,"")</f>
        <v/>
      </c>
    </row>
    <row r="192">
      <c r="A192" s="12" t="inlineStr">
        <is>
          <t>200</t>
        </is>
      </c>
      <c r="B192" s="4" t="n">
        <v>2</v>
      </c>
      <c r="C192" s="5" t="n">
        <v>212</v>
      </c>
      <c r="D192" s="5" t="n">
        <v>184</v>
      </c>
      <c r="E192" s="5" t="n">
        <v>207</v>
      </c>
      <c r="F192" s="5" t="n">
        <v>201</v>
      </c>
      <c r="G192" s="5" t="n">
        <v>175</v>
      </c>
      <c r="H192" s="13">
        <f>IF(AND(ISNUMBER(C192),C192&gt;0,ISNUMBER(G192)),G192/C192-1,"")</f>
        <v/>
      </c>
    </row>
    <row r="193">
      <c r="A193" s="12" t="inlineStr">
        <is>
          <t>201</t>
        </is>
      </c>
      <c r="B193" s="4" t="n">
        <v>2</v>
      </c>
      <c r="C193" s="5" t="n">
        <v>613</v>
      </c>
      <c r="D193" s="5" t="n">
        <v>863</v>
      </c>
      <c r="E193" s="5" t="n">
        <v>964</v>
      </c>
      <c r="F193" s="5" t="n">
        <v>1079</v>
      </c>
      <c r="G193" s="5" t="n">
        <v>841</v>
      </c>
      <c r="H193" s="13">
        <f>IF(AND(ISNUMBER(C193),C193&gt;0,ISNUMBER(G193)),G193/C193-1,"")</f>
        <v/>
      </c>
    </row>
    <row r="194">
      <c r="A194" s="12" t="inlineStr">
        <is>
          <t>202</t>
        </is>
      </c>
      <c r="B194" s="4" t="n">
        <v>2</v>
      </c>
      <c r="C194" s="5" t="n">
        <v>432</v>
      </c>
      <c r="D194" s="5" t="n">
        <v>606</v>
      </c>
      <c r="E194" s="5" t="n">
        <v>567</v>
      </c>
      <c r="F194" s="5" t="n">
        <v>547</v>
      </c>
      <c r="G194" s="5" t="n">
        <v>598</v>
      </c>
      <c r="H194" s="13">
        <f>IF(AND(ISNUMBER(C194),C194&gt;0,ISNUMBER(G194)),G194/C194-1,"")</f>
        <v/>
      </c>
    </row>
    <row r="195">
      <c r="A195" s="12" t="inlineStr">
        <is>
          <t>203</t>
        </is>
      </c>
      <c r="B195" s="4" t="n">
        <v>2</v>
      </c>
      <c r="C195" s="5" t="n">
        <v>309</v>
      </c>
      <c r="D195" s="5" t="n"/>
      <c r="E195" s="5" t="n"/>
      <c r="F195" s="5" t="n"/>
      <c r="G195" s="5" t="n"/>
      <c r="H195" s="13">
        <f>IF(AND(ISNUMBER(C195),C195&gt;0,ISNUMBER(G195)),G195/C195-1,"")</f>
        <v/>
      </c>
    </row>
    <row r="196">
      <c r="A196" s="12" t="inlineStr">
        <is>
          <t>204</t>
        </is>
      </c>
      <c r="B196" s="4" t="n">
        <v>2</v>
      </c>
      <c r="C196" s="5" t="n">
        <v>298</v>
      </c>
      <c r="D196" s="5" t="n">
        <v>418</v>
      </c>
      <c r="E196" s="5" t="n">
        <v>397</v>
      </c>
      <c r="F196" s="5" t="n">
        <v>402</v>
      </c>
      <c r="G196" s="5" t="n">
        <v>315</v>
      </c>
      <c r="H196" s="13">
        <f>IF(AND(ISNUMBER(C196),C196&gt;0,ISNUMBER(G196)),G196/C196-1,"")</f>
        <v/>
      </c>
    </row>
    <row r="197">
      <c r="A197" s="12" t="inlineStr">
        <is>
          <t>210</t>
        </is>
      </c>
      <c r="B197" s="4" t="n">
        <v>2</v>
      </c>
      <c r="C197" s="5" t="n">
        <v>224</v>
      </c>
      <c r="D197" s="5" t="n">
        <v>241</v>
      </c>
      <c r="E197" s="5" t="n">
        <v>254</v>
      </c>
      <c r="F197" s="5" t="n">
        <v>277</v>
      </c>
      <c r="G197" s="5" t="n">
        <v>233</v>
      </c>
      <c r="H197" s="13">
        <f>IF(AND(ISNUMBER(C197),C197&gt;0,ISNUMBER(G197)),G197/C197-1,"")</f>
        <v/>
      </c>
    </row>
    <row r="198">
      <c r="A198" s="12" t="inlineStr">
        <is>
          <t>211</t>
        </is>
      </c>
      <c r="B198" s="4" t="n">
        <v>2</v>
      </c>
      <c r="C198" s="5" t="n">
        <v>50</v>
      </c>
      <c r="D198" s="5" t="n">
        <v>39</v>
      </c>
      <c r="E198" s="5" t="n">
        <v>37</v>
      </c>
      <c r="F198" s="5" t="n">
        <v>28</v>
      </c>
      <c r="G198" s="5" t="n">
        <v>66</v>
      </c>
      <c r="H198" s="13">
        <f>IF(AND(ISNUMBER(C198),C198&gt;0,ISNUMBER(G198)),G198/C198-1,"")</f>
        <v/>
      </c>
    </row>
    <row r="199">
      <c r="A199" s="12" t="inlineStr">
        <is>
          <t>212</t>
        </is>
      </c>
      <c r="B199" s="4" t="n">
        <v>2</v>
      </c>
      <c r="C199" s="5" t="n">
        <v>42</v>
      </c>
      <c r="D199" s="5" t="n">
        <v>28</v>
      </c>
      <c r="E199" s="5" t="n">
        <v>26</v>
      </c>
      <c r="F199" s="5" t="n">
        <v>50</v>
      </c>
      <c r="G199" s="5" t="n">
        <v>47</v>
      </c>
      <c r="H199" s="13">
        <f>IF(AND(ISNUMBER(C199),C199&gt;0,ISNUMBER(G199)),G199/C199-1,"")</f>
        <v/>
      </c>
    </row>
    <row r="200">
      <c r="A200" s="12" t="inlineStr">
        <is>
          <t>213</t>
        </is>
      </c>
      <c r="B200" s="4" t="n">
        <v>2</v>
      </c>
      <c r="C200" s="5" t="n">
        <v>197</v>
      </c>
      <c r="D200" s="5" t="n">
        <v>176</v>
      </c>
      <c r="E200" s="5" t="n">
        <v>188</v>
      </c>
      <c r="F200" s="5" t="n">
        <v>156</v>
      </c>
      <c r="G200" s="5" t="n">
        <v>138</v>
      </c>
      <c r="H200" s="13">
        <f>IF(AND(ISNUMBER(C200),C200&gt;0,ISNUMBER(G200)),G200/C200-1,"")</f>
        <v/>
      </c>
    </row>
    <row r="201">
      <c r="A201" s="12" t="inlineStr">
        <is>
          <t>214</t>
        </is>
      </c>
      <c r="B201" s="4" t="n">
        <v>2</v>
      </c>
      <c r="C201" s="5" t="n">
        <v>16</v>
      </c>
      <c r="D201" s="5" t="n">
        <v>53</v>
      </c>
      <c r="E201" s="5" t="n">
        <v>37</v>
      </c>
      <c r="F201" s="5" t="n">
        <v>52</v>
      </c>
      <c r="G201" s="5" t="n">
        <v>59</v>
      </c>
      <c r="H201" s="13">
        <f>IF(AND(ISNUMBER(C201),C201&gt;0,ISNUMBER(G201)),G201/C201-1,"")</f>
        <v/>
      </c>
    </row>
    <row r="202">
      <c r="A202" s="12" t="inlineStr">
        <is>
          <t>215</t>
        </is>
      </c>
      <c r="B202" s="4" t="n">
        <v>2</v>
      </c>
      <c r="C202" s="5" t="n">
        <v>179</v>
      </c>
      <c r="D202" s="5" t="n">
        <v>127</v>
      </c>
      <c r="E202" s="5" t="n">
        <v>150</v>
      </c>
      <c r="F202" s="5" t="n">
        <v>146</v>
      </c>
      <c r="G202" s="5" t="n">
        <v>126</v>
      </c>
      <c r="H202" s="13">
        <f>IF(AND(ISNUMBER(C202),C202&gt;0,ISNUMBER(G202)),G202/C202-1,"")</f>
        <v/>
      </c>
    </row>
    <row r="203">
      <c r="A203" s="12" t="inlineStr">
        <is>
          <t>216</t>
        </is>
      </c>
      <c r="B203" s="4" t="n">
        <v>2</v>
      </c>
      <c r="C203" s="5" t="n">
        <v>68</v>
      </c>
      <c r="D203" s="5" t="n">
        <v>98</v>
      </c>
      <c r="E203" s="5" t="n">
        <v>123</v>
      </c>
      <c r="F203" s="5" t="n">
        <v>105</v>
      </c>
      <c r="G203" s="5" t="n">
        <v>52</v>
      </c>
      <c r="H203" s="13">
        <f>IF(AND(ISNUMBER(C203),C203&gt;0,ISNUMBER(G203)),G203/C203-1,"")</f>
        <v/>
      </c>
    </row>
    <row r="204">
      <c r="A204" s="12" t="inlineStr">
        <is>
          <t>217</t>
        </is>
      </c>
      <c r="B204" s="4" t="n">
        <v>2</v>
      </c>
      <c r="C204" s="5" t="n">
        <v>88</v>
      </c>
      <c r="D204" s="5" t="n">
        <v>114</v>
      </c>
      <c r="E204" s="5" t="n">
        <v>105</v>
      </c>
      <c r="F204" s="5" t="n">
        <v>97</v>
      </c>
      <c r="G204" s="5" t="n">
        <v>98</v>
      </c>
      <c r="H204" s="13">
        <f>IF(AND(ISNUMBER(C204),C204&gt;0,ISNUMBER(G204)),G204/C204-1,"")</f>
        <v/>
      </c>
    </row>
    <row r="205">
      <c r="A205" s="12" t="inlineStr">
        <is>
          <t>240</t>
        </is>
      </c>
      <c r="B205" s="4" t="n">
        <v>2</v>
      </c>
      <c r="C205" s="5" t="n">
        <v>763</v>
      </c>
      <c r="D205" s="5" t="n">
        <v>763</v>
      </c>
      <c r="E205" s="5" t="n">
        <v>871</v>
      </c>
      <c r="F205" s="5" t="n">
        <v>776</v>
      </c>
      <c r="G205" s="5" t="n">
        <v>640</v>
      </c>
      <c r="H205" s="13">
        <f>IF(AND(ISNUMBER(C205),C205&gt;0,ISNUMBER(G205)),G205/C205-1,"")</f>
        <v/>
      </c>
    </row>
    <row r="206">
      <c r="A206" s="12" t="inlineStr">
        <is>
          <t>250</t>
        </is>
      </c>
      <c r="B206" s="4" t="n">
        <v>2</v>
      </c>
      <c r="C206" s="5" t="n">
        <v>123</v>
      </c>
      <c r="D206" s="5" t="n">
        <v>158</v>
      </c>
      <c r="E206" s="5" t="n">
        <v>165</v>
      </c>
      <c r="F206" s="5" t="n">
        <v>155</v>
      </c>
      <c r="G206" s="5" t="n">
        <v>157</v>
      </c>
      <c r="H206" s="13">
        <f>IF(AND(ISNUMBER(C206),C206&gt;0,ISNUMBER(G206)),G206/C206-1,"")</f>
        <v/>
      </c>
    </row>
    <row r="207">
      <c r="A207" s="12" t="inlineStr">
        <is>
          <t>260</t>
        </is>
      </c>
      <c r="B207" s="4" t="n">
        <v>2</v>
      </c>
      <c r="C207" s="5" t="n">
        <v>511</v>
      </c>
      <c r="D207" s="5" t="n">
        <v>751</v>
      </c>
      <c r="E207" s="5" t="n">
        <v>542</v>
      </c>
      <c r="F207" s="5" t="n">
        <v>736</v>
      </c>
      <c r="G207" s="5" t="n">
        <v>633</v>
      </c>
      <c r="H207" s="13">
        <f>IF(AND(ISNUMBER(C207),C207&gt;0,ISNUMBER(G207)),G207/C207-1,"")</f>
        <v/>
      </c>
    </row>
    <row r="208">
      <c r="A208" s="12" t="inlineStr">
        <is>
          <t>261</t>
        </is>
      </c>
      <c r="B208" s="4" t="n">
        <v>2</v>
      </c>
      <c r="C208" s="5" t="n">
        <v>117</v>
      </c>
      <c r="D208" s="5" t="n">
        <v>160</v>
      </c>
      <c r="E208" s="5" t="n">
        <v>177</v>
      </c>
      <c r="F208" s="5" t="n">
        <v>132</v>
      </c>
      <c r="G208" s="5" t="n">
        <v>174</v>
      </c>
      <c r="H208" s="13">
        <f>IF(AND(ISNUMBER(C208),C208&gt;0,ISNUMBER(G208)),G208/C208-1,"")</f>
        <v/>
      </c>
    </row>
    <row r="209">
      <c r="A209" s="12" t="inlineStr">
        <is>
          <t>262</t>
        </is>
      </c>
      <c r="B209" s="4" t="n">
        <v>2</v>
      </c>
      <c r="C209" s="5" t="n">
        <v>303</v>
      </c>
      <c r="D209" s="5" t="n">
        <v>427</v>
      </c>
      <c r="E209" s="5" t="n">
        <v>488</v>
      </c>
      <c r="F209" s="5" t="n">
        <v>405</v>
      </c>
      <c r="G209" s="5" t="n">
        <v>327</v>
      </c>
      <c r="H209" s="13">
        <f>IF(AND(ISNUMBER(C209),C209&gt;0,ISNUMBER(G209)),G209/C209-1,"")</f>
        <v/>
      </c>
    </row>
    <row r="210">
      <c r="A210" s="12" t="inlineStr">
        <is>
          <t>270</t>
        </is>
      </c>
      <c r="B210" s="4" t="n">
        <v>2</v>
      </c>
      <c r="C210" s="5" t="n">
        <v>293</v>
      </c>
      <c r="D210" s="5" t="n">
        <v>279</v>
      </c>
      <c r="E210" s="5" t="n">
        <v>410</v>
      </c>
      <c r="F210" s="5" t="n">
        <v>414</v>
      </c>
      <c r="G210" s="5" t="n">
        <v>318</v>
      </c>
      <c r="H210" s="13">
        <f>IF(AND(ISNUMBER(C210),C210&gt;0,ISNUMBER(G210)),G210/C210-1,"")</f>
        <v/>
      </c>
    </row>
    <row r="211">
      <c r="A211" s="12" t="inlineStr">
        <is>
          <t>280</t>
        </is>
      </c>
      <c r="B211" s="4" t="n">
        <v>2</v>
      </c>
      <c r="C211" s="5" t="n">
        <v>24</v>
      </c>
      <c r="D211" s="5" t="n">
        <v>30</v>
      </c>
      <c r="E211" s="5" t="n">
        <v>10</v>
      </c>
      <c r="F211" s="5" t="n">
        <v>25</v>
      </c>
      <c r="G211" s="5" t="n">
        <v>41</v>
      </c>
      <c r="H211" s="13">
        <f>IF(AND(ISNUMBER(C211),C211&gt;0,ISNUMBER(G211)),G211/C211-1,"")</f>
        <v/>
      </c>
    </row>
    <row r="212">
      <c r="A212" s="12" t="inlineStr">
        <is>
          <t>281</t>
        </is>
      </c>
      <c r="B212" s="4" t="n">
        <v>2</v>
      </c>
      <c r="C212" s="5" t="n">
        <v>265</v>
      </c>
      <c r="D212" s="5" t="n">
        <v>217</v>
      </c>
      <c r="E212" s="5" t="n">
        <v>226</v>
      </c>
      <c r="F212" s="5" t="n">
        <v>279</v>
      </c>
      <c r="G212" s="5" t="n">
        <v>285</v>
      </c>
      <c r="H212" s="13">
        <f>IF(AND(ISNUMBER(C212),C212&gt;0,ISNUMBER(G212)),G212/C212-1,"")</f>
        <v/>
      </c>
    </row>
    <row r="213">
      <c r="A213" s="12" t="inlineStr">
        <is>
          <t>282</t>
        </is>
      </c>
      <c r="B213" s="4" t="n">
        <v>2</v>
      </c>
      <c r="C213" s="5" t="n">
        <v>59</v>
      </c>
      <c r="D213" s="5" t="n">
        <v>77</v>
      </c>
      <c r="E213" s="5" t="n">
        <v>58</v>
      </c>
      <c r="F213" s="5" t="n">
        <v>85</v>
      </c>
      <c r="G213" s="5" t="n">
        <v>93</v>
      </c>
      <c r="H213" s="13">
        <f>IF(AND(ISNUMBER(C213),C213&gt;0,ISNUMBER(G213)),G213/C213-1,"")</f>
        <v/>
      </c>
    </row>
    <row r="214">
      <c r="A214" s="12" t="inlineStr">
        <is>
          <t>283</t>
        </is>
      </c>
      <c r="B214" s="4" t="n">
        <v>2</v>
      </c>
      <c r="C214" s="5" t="n">
        <v>265</v>
      </c>
      <c r="D214" s="5" t="n"/>
      <c r="E214" s="5" t="n"/>
      <c r="F214" s="5" t="n"/>
      <c r="G214" s="5" t="n"/>
      <c r="H214" s="13">
        <f>IF(AND(ISNUMBER(C214),C214&gt;0,ISNUMBER(G214)),G214/C214-1,"")</f>
        <v/>
      </c>
    </row>
    <row r="215">
      <c r="A215" s="12" t="inlineStr">
        <is>
          <t>284</t>
        </is>
      </c>
      <c r="B215" s="4" t="n">
        <v>2</v>
      </c>
      <c r="C215" s="5" t="n">
        <v>46</v>
      </c>
      <c r="D215" s="5" t="n">
        <v>23</v>
      </c>
      <c r="E215" s="5" t="n">
        <v>20</v>
      </c>
      <c r="F215" s="5" t="n">
        <v>35</v>
      </c>
      <c r="G215" s="5" t="n">
        <v>14</v>
      </c>
      <c r="H215" s="13">
        <f>IF(AND(ISNUMBER(C215),C215&gt;0,ISNUMBER(G215)),G215/C215-1,"")</f>
        <v/>
      </c>
    </row>
    <row r="216">
      <c r="A216" s="12" t="inlineStr">
        <is>
          <t>285</t>
        </is>
      </c>
      <c r="B216" s="4" t="n">
        <v>2</v>
      </c>
      <c r="C216" s="5" t="n">
        <v>659</v>
      </c>
      <c r="D216" s="5" t="n">
        <v>728</v>
      </c>
      <c r="E216" s="5" t="n">
        <v>829</v>
      </c>
      <c r="F216" s="5" t="n">
        <v>872</v>
      </c>
      <c r="G216" s="5" t="n">
        <v>962</v>
      </c>
      <c r="H216" s="13">
        <f>IF(AND(ISNUMBER(C216),C216&gt;0,ISNUMBER(G216)),G216/C216-1,"")</f>
        <v/>
      </c>
    </row>
    <row r="217">
      <c r="A217" s="12" t="inlineStr">
        <is>
          <t>290</t>
        </is>
      </c>
      <c r="B217" s="4" t="n">
        <v>2</v>
      </c>
      <c r="C217" s="5" t="n">
        <v>52</v>
      </c>
      <c r="D217" s="5" t="n">
        <v>67</v>
      </c>
      <c r="E217" s="5" t="n">
        <v>54</v>
      </c>
      <c r="F217" s="5" t="n">
        <v>61</v>
      </c>
      <c r="G217" s="5" t="n">
        <v>71</v>
      </c>
      <c r="H217" s="13">
        <f>IF(AND(ISNUMBER(C217),C217&gt;0,ISNUMBER(G217)),G217/C217-1,"")</f>
        <v/>
      </c>
    </row>
    <row r="218">
      <c r="A218" s="12" t="inlineStr">
        <is>
          <t>291</t>
        </is>
      </c>
      <c r="B218" s="4" t="n">
        <v>2</v>
      </c>
      <c r="C218" s="5" t="n">
        <v>62</v>
      </c>
      <c r="D218" s="5" t="n">
        <v>33</v>
      </c>
      <c r="E218" s="5" t="n">
        <v>23</v>
      </c>
      <c r="F218" s="5" t="n">
        <v>35</v>
      </c>
      <c r="G218" s="5" t="n">
        <v>45</v>
      </c>
      <c r="H218" s="13">
        <f>IF(AND(ISNUMBER(C218),C218&gt;0,ISNUMBER(G218)),G218/C218-1,"")</f>
        <v/>
      </c>
    </row>
    <row r="219">
      <c r="A219" s="12" t="inlineStr">
        <is>
          <t>292</t>
        </is>
      </c>
      <c r="B219" s="4" t="n">
        <v>2</v>
      </c>
      <c r="C219" s="5" t="n">
        <v>300</v>
      </c>
      <c r="D219" s="5" t="n">
        <v>354</v>
      </c>
      <c r="E219" s="5" t="n">
        <v>311</v>
      </c>
      <c r="F219" s="5" t="n">
        <v>319</v>
      </c>
      <c r="G219" s="5" t="n">
        <v>289</v>
      </c>
      <c r="H219" s="13">
        <f>IF(AND(ISNUMBER(C219),C219&gt;0,ISNUMBER(G219)),G219/C219-1,"")</f>
        <v/>
      </c>
    </row>
    <row r="220">
      <c r="A220" s="12" t="inlineStr">
        <is>
          <t>293</t>
        </is>
      </c>
      <c r="B220" s="4" t="n">
        <v>2</v>
      </c>
      <c r="C220" s="5" t="n">
        <v>119</v>
      </c>
      <c r="D220" s="5" t="n">
        <v>119</v>
      </c>
      <c r="E220" s="5" t="n">
        <v>131</v>
      </c>
      <c r="F220" s="5" t="n">
        <v>103</v>
      </c>
      <c r="G220" s="5" t="n">
        <v>176</v>
      </c>
      <c r="H220" s="13">
        <f>IF(AND(ISNUMBER(C220),C220&gt;0,ISNUMBER(G220)),G220/C220-1,"")</f>
        <v/>
      </c>
    </row>
    <row r="221">
      <c r="A221" s="12" t="inlineStr">
        <is>
          <t>298</t>
        </is>
      </c>
      <c r="B221" s="4" t="n">
        <v>2</v>
      </c>
      <c r="C221" s="5" t="n">
        <v>40</v>
      </c>
      <c r="D221" s="5" t="n">
        <v>38</v>
      </c>
      <c r="E221" s="5" t="n">
        <v>38</v>
      </c>
      <c r="F221" s="5" t="n">
        <v>34</v>
      </c>
      <c r="G221" s="5" t="n">
        <v>66</v>
      </c>
      <c r="H221" s="13">
        <f>IF(AND(ISNUMBER(C221),C221&gt;0,ISNUMBER(G221)),G221/C221-1,"")</f>
        <v/>
      </c>
    </row>
    <row r="222">
      <c r="A222" s="12" t="inlineStr">
        <is>
          <t>300</t>
        </is>
      </c>
      <c r="B222" s="4" t="n">
        <v>3</v>
      </c>
      <c r="C222" s="5" t="n">
        <v>46</v>
      </c>
      <c r="D222" s="5" t="n"/>
      <c r="E222" s="5" t="n"/>
      <c r="F222" s="5" t="n"/>
      <c r="G222" s="5" t="n"/>
      <c r="H222" s="13">
        <f>IF(AND(ISNUMBER(C222),C222&gt;0,ISNUMBER(G222)),G222/C222-1,"")</f>
        <v/>
      </c>
    </row>
    <row r="223">
      <c r="A223" s="12" t="inlineStr">
        <is>
          <t>301</t>
        </is>
      </c>
      <c r="B223" s="4" t="n">
        <v>3</v>
      </c>
      <c r="C223" s="5" t="n">
        <v>146</v>
      </c>
      <c r="D223" s="5" t="n">
        <v>124</v>
      </c>
      <c r="E223" s="5" t="n">
        <v>139</v>
      </c>
      <c r="F223" s="5" t="n">
        <v>202</v>
      </c>
      <c r="G223" s="5" t="n">
        <v>169</v>
      </c>
      <c r="H223" s="13">
        <f>IF(AND(ISNUMBER(C223),C223&gt;0,ISNUMBER(G223)),G223/C223-1,"")</f>
        <v/>
      </c>
    </row>
    <row r="224">
      <c r="A224" s="12" t="inlineStr">
        <is>
          <t>302</t>
        </is>
      </c>
      <c r="B224" s="4" t="n">
        <v>3</v>
      </c>
      <c r="C224" s="5" t="n">
        <v>32</v>
      </c>
      <c r="D224" s="5" t="n">
        <v>37</v>
      </c>
      <c r="E224" s="5" t="n">
        <v>85</v>
      </c>
      <c r="F224" s="5" t="n">
        <v>22</v>
      </c>
      <c r="G224" s="5" t="n">
        <v>42</v>
      </c>
      <c r="H224" s="13">
        <f>IF(AND(ISNUMBER(C224),C224&gt;0,ISNUMBER(G224)),G224/C224-1,"")</f>
        <v/>
      </c>
    </row>
    <row r="225">
      <c r="A225" s="12" t="inlineStr">
        <is>
          <t>303</t>
        </is>
      </c>
      <c r="B225" s="4" t="n">
        <v>3</v>
      </c>
      <c r="C225" s="5" t="n"/>
      <c r="D225" s="5" t="n">
        <v>9</v>
      </c>
      <c r="E225" s="5" t="n">
        <v>25</v>
      </c>
      <c r="F225" s="5" t="n">
        <v>18</v>
      </c>
      <c r="G225" s="5" t="n">
        <v>28</v>
      </c>
      <c r="H225" s="13">
        <f>IF(AND(ISNUMBER(C225),C225&gt;0,ISNUMBER(G225)),G225/C225-1,"")</f>
        <v/>
      </c>
    </row>
    <row r="226">
      <c r="A226" s="12" t="inlineStr">
        <is>
          <t>304</t>
        </is>
      </c>
      <c r="B226" s="4" t="n">
        <v>3</v>
      </c>
      <c r="C226" s="5" t="n"/>
      <c r="D226" s="5" t="n">
        <v>73</v>
      </c>
      <c r="E226" s="5" t="n">
        <v>105</v>
      </c>
      <c r="F226" s="5" t="n">
        <v>85</v>
      </c>
      <c r="G226" s="5" t="n">
        <v>110</v>
      </c>
      <c r="H226" s="13">
        <f>IF(AND(ISNUMBER(C226),C226&gt;0,ISNUMBER(G226)),G226/C226-1,"")</f>
        <v/>
      </c>
    </row>
    <row r="227">
      <c r="A227" s="12" t="inlineStr">
        <is>
          <t>309</t>
        </is>
      </c>
      <c r="B227" s="4" t="n">
        <v>3</v>
      </c>
      <c r="C227" s="5" t="n">
        <v>498</v>
      </c>
      <c r="D227" s="5" t="n">
        <v>488</v>
      </c>
      <c r="E227" s="5" t="n">
        <v>398</v>
      </c>
      <c r="F227" s="5" t="n">
        <v>405</v>
      </c>
      <c r="G227" s="5" t="n">
        <v>346</v>
      </c>
      <c r="H227" s="13">
        <f>IF(AND(ISNUMBER(C227),C227&gt;0,ISNUMBER(G227)),G227/C227-1,"")</f>
        <v/>
      </c>
    </row>
    <row r="228">
      <c r="A228" s="12" t="inlineStr">
        <is>
          <t>310</t>
        </is>
      </c>
      <c r="B228" s="4" t="n">
        <v>3</v>
      </c>
      <c r="C228" s="5" t="n">
        <v>11</v>
      </c>
      <c r="D228" s="5" t="n">
        <v>25</v>
      </c>
      <c r="E228" s="5" t="n">
        <v>36</v>
      </c>
      <c r="F228" s="5" t="n">
        <v>21</v>
      </c>
      <c r="G228" s="5" t="n">
        <v>38</v>
      </c>
      <c r="H228" s="13">
        <f>IF(AND(ISNUMBER(C228),C228&gt;0,ISNUMBER(G228)),G228/C228-1,"")</f>
        <v/>
      </c>
    </row>
    <row r="229">
      <c r="A229" s="12" t="inlineStr">
        <is>
          <t>311</t>
        </is>
      </c>
      <c r="B229" s="4" t="n">
        <v>3</v>
      </c>
      <c r="C229" s="5" t="n">
        <v>697</v>
      </c>
      <c r="D229" s="5" t="n">
        <v>629</v>
      </c>
      <c r="E229" s="5" t="n">
        <v>648</v>
      </c>
      <c r="F229" s="5" t="n">
        <v>692</v>
      </c>
      <c r="G229" s="5" t="n">
        <v>653</v>
      </c>
      <c r="H229" s="13">
        <f>IF(AND(ISNUMBER(C229),C229&gt;0,ISNUMBER(G229)),G229/C229-1,"")</f>
        <v/>
      </c>
    </row>
    <row r="230">
      <c r="A230" s="12" t="inlineStr">
        <is>
          <t>312</t>
        </is>
      </c>
      <c r="B230" s="4" t="n">
        <v>3</v>
      </c>
      <c r="C230" s="5" t="n">
        <v>486</v>
      </c>
      <c r="D230" s="5" t="n">
        <v>503</v>
      </c>
      <c r="E230" s="5" t="n">
        <v>370</v>
      </c>
      <c r="F230" s="5" t="n">
        <v>535</v>
      </c>
      <c r="G230" s="5" t="n">
        <v>417</v>
      </c>
      <c r="H230" s="13">
        <f>IF(AND(ISNUMBER(C230),C230&gt;0,ISNUMBER(G230)),G230/C230-1,"")</f>
        <v/>
      </c>
    </row>
    <row r="231">
      <c r="A231" s="12" t="inlineStr">
        <is>
          <t>313</t>
        </is>
      </c>
      <c r="B231" s="4" t="n">
        <v>3</v>
      </c>
      <c r="C231" s="5" t="n">
        <v>27</v>
      </c>
      <c r="D231" s="5" t="n">
        <v>37</v>
      </c>
      <c r="E231" s="5" t="n">
        <v>35</v>
      </c>
      <c r="F231" s="5" t="n">
        <v>24</v>
      </c>
      <c r="G231" s="5" t="n">
        <v>50</v>
      </c>
      <c r="H231" s="13">
        <f>IF(AND(ISNUMBER(C231),C231&gt;0,ISNUMBER(G231)),G231/C231-1,"")</f>
        <v/>
      </c>
    </row>
    <row r="232">
      <c r="A232" s="12" t="inlineStr">
        <is>
          <t>314</t>
        </is>
      </c>
      <c r="B232" s="4" t="n">
        <v>3</v>
      </c>
      <c r="C232" s="5" t="n">
        <v>224</v>
      </c>
      <c r="D232" s="5" t="n">
        <v>207</v>
      </c>
      <c r="E232" s="5" t="n">
        <v>214</v>
      </c>
      <c r="F232" s="5" t="n">
        <v>238</v>
      </c>
      <c r="G232" s="5" t="n">
        <v>282</v>
      </c>
      <c r="H232" s="13">
        <f>IF(AND(ISNUMBER(C232),C232&gt;0,ISNUMBER(G232)),G232/C232-1,"")</f>
        <v/>
      </c>
    </row>
    <row r="233">
      <c r="A233" s="12" t="inlineStr">
        <is>
          <t>315</t>
        </is>
      </c>
      <c r="B233" s="4" t="n">
        <v>3</v>
      </c>
      <c r="C233" s="5" t="n">
        <v>400</v>
      </c>
      <c r="D233" s="5" t="n">
        <v>379</v>
      </c>
      <c r="E233" s="5" t="n">
        <v>389</v>
      </c>
      <c r="F233" s="5" t="n">
        <v>381</v>
      </c>
      <c r="G233" s="5" t="n">
        <v>315</v>
      </c>
      <c r="H233" s="13">
        <f>IF(AND(ISNUMBER(C233),C233&gt;0,ISNUMBER(G233)),G233/C233-1,"")</f>
        <v/>
      </c>
    </row>
    <row r="234">
      <c r="A234" s="12" t="inlineStr">
        <is>
          <t>316</t>
        </is>
      </c>
      <c r="B234" s="4" t="n">
        <v>3</v>
      </c>
      <c r="C234" s="5" t="n"/>
      <c r="D234" s="5" t="n">
        <v>12</v>
      </c>
      <c r="E234" s="5" t="n">
        <v>6</v>
      </c>
      <c r="F234" s="5" t="n">
        <v>6</v>
      </c>
      <c r="G234" s="5" t="n">
        <v>3</v>
      </c>
      <c r="H234" s="13">
        <f>IF(AND(ISNUMBER(C234),C234&gt;0,ISNUMBER(G234)),G234/C234-1,"")</f>
        <v/>
      </c>
    </row>
    <row r="235">
      <c r="A235" s="12" t="inlineStr">
        <is>
          <t>317</t>
        </is>
      </c>
      <c r="B235" s="4" t="n">
        <v>3</v>
      </c>
      <c r="C235" s="5" t="n">
        <v>478</v>
      </c>
      <c r="D235" s="5" t="n">
        <v>424</v>
      </c>
      <c r="E235" s="5" t="n">
        <v>417</v>
      </c>
      <c r="F235" s="5" t="n">
        <v>451</v>
      </c>
      <c r="G235" s="5" t="n">
        <v>332</v>
      </c>
      <c r="H235" s="13">
        <f>IF(AND(ISNUMBER(C235),C235&gt;0,ISNUMBER(G235)),G235/C235-1,"")</f>
        <v/>
      </c>
    </row>
    <row r="236">
      <c r="A236" s="12" t="inlineStr">
        <is>
          <t>318</t>
        </is>
      </c>
      <c r="B236" s="4" t="n">
        <v>3</v>
      </c>
      <c r="C236" s="5" t="n">
        <v>21</v>
      </c>
      <c r="D236" s="5" t="n">
        <v>20</v>
      </c>
      <c r="E236" s="5" t="n">
        <v>20</v>
      </c>
      <c r="F236" s="5" t="n">
        <v>12</v>
      </c>
      <c r="G236" s="5" t="n">
        <v>21</v>
      </c>
      <c r="H236" s="13">
        <f>IF(AND(ISNUMBER(C236),C236&gt;0,ISNUMBER(G236)),G236/C236-1,"")</f>
        <v/>
      </c>
    </row>
    <row r="237">
      <c r="A237" s="12" t="inlineStr">
        <is>
          <t>319</t>
        </is>
      </c>
      <c r="B237" s="4" t="n">
        <v>3</v>
      </c>
      <c r="C237" s="5" t="n">
        <v>19</v>
      </c>
      <c r="D237" s="5" t="n">
        <v>24</v>
      </c>
      <c r="E237" s="5" t="n">
        <v>56</v>
      </c>
      <c r="F237" s="5" t="n">
        <v>58</v>
      </c>
      <c r="G237" s="5" t="n">
        <v>77</v>
      </c>
      <c r="H237" s="13">
        <f>IF(AND(ISNUMBER(C237),C237&gt;0,ISNUMBER(G237)),G237/C237-1,"")</f>
        <v/>
      </c>
    </row>
    <row r="238">
      <c r="A238" s="12" t="inlineStr">
        <is>
          <t>320</t>
        </is>
      </c>
      <c r="B238" s="4" t="n">
        <v>3</v>
      </c>
      <c r="C238" s="5" t="n">
        <v>552</v>
      </c>
      <c r="D238" s="5" t="n">
        <v>921</v>
      </c>
      <c r="E238" s="5" t="n">
        <v>829</v>
      </c>
      <c r="F238" s="5" t="n">
        <v>997</v>
      </c>
      <c r="G238" s="5" t="n">
        <v>909</v>
      </c>
      <c r="H238" s="13">
        <f>IF(AND(ISNUMBER(C238),C238&gt;0,ISNUMBER(G238)),G238/C238-1,"")</f>
        <v/>
      </c>
    </row>
    <row r="239">
      <c r="A239" s="12" t="inlineStr">
        <is>
          <t>321</t>
        </is>
      </c>
      <c r="B239" s="4" t="n">
        <v>3</v>
      </c>
      <c r="C239" s="5" t="n">
        <v>41</v>
      </c>
      <c r="D239" s="5" t="n">
        <v>40</v>
      </c>
      <c r="E239" s="5" t="n">
        <v>81</v>
      </c>
      <c r="F239" s="5" t="n">
        <v>45</v>
      </c>
      <c r="G239" s="5" t="n">
        <v>50</v>
      </c>
      <c r="H239" s="13">
        <f>IF(AND(ISNUMBER(C239),C239&gt;0,ISNUMBER(G239)),G239/C239-1,"")</f>
        <v/>
      </c>
    </row>
    <row r="240">
      <c r="A240" s="12" t="inlineStr">
        <is>
          <t>322</t>
        </is>
      </c>
      <c r="B240" s="4" t="n">
        <v>3</v>
      </c>
      <c r="C240" s="5" t="n">
        <v>675</v>
      </c>
      <c r="D240" s="5" t="n">
        <v>1072</v>
      </c>
      <c r="E240" s="5" t="n">
        <v>1022</v>
      </c>
      <c r="F240" s="5" t="n">
        <v>431</v>
      </c>
      <c r="G240" s="5" t="n">
        <v>427</v>
      </c>
      <c r="H240" s="13">
        <f>IF(AND(ISNUMBER(C240),C240&gt;0,ISNUMBER(G240)),G240/C240-1,"")</f>
        <v/>
      </c>
    </row>
    <row r="241">
      <c r="A241" s="12" t="inlineStr">
        <is>
          <t>323</t>
        </is>
      </c>
      <c r="B241" s="4" t="n">
        <v>3</v>
      </c>
      <c r="C241" s="5" t="n">
        <v>22</v>
      </c>
      <c r="D241" s="5" t="n"/>
      <c r="E241" s="5" t="n"/>
      <c r="F241" s="5" t="n">
        <v>243</v>
      </c>
      <c r="G241" s="5" t="n">
        <v>271</v>
      </c>
      <c r="H241" s="13">
        <f>IF(AND(ISNUMBER(C241),C241&gt;0,ISNUMBER(G241)),G241/C241-1,"")</f>
        <v/>
      </c>
    </row>
    <row r="242">
      <c r="A242" s="12" t="inlineStr">
        <is>
          <t>324</t>
        </is>
      </c>
      <c r="B242" s="4" t="n">
        <v>3</v>
      </c>
      <c r="C242" s="5" t="n">
        <v>70</v>
      </c>
      <c r="D242" s="5" t="n"/>
      <c r="E242" s="5" t="n"/>
      <c r="F242" s="5" t="n">
        <v>275</v>
      </c>
      <c r="G242" s="5" t="n">
        <v>299</v>
      </c>
      <c r="H242" s="13">
        <f>IF(AND(ISNUMBER(C242),C242&gt;0,ISNUMBER(G242)),G242/C242-1,"")</f>
        <v/>
      </c>
    </row>
    <row r="243">
      <c r="A243" s="12" t="inlineStr">
        <is>
          <t>325</t>
        </is>
      </c>
      <c r="B243" s="4" t="n">
        <v>3</v>
      </c>
      <c r="C243" s="5" t="n">
        <v>313</v>
      </c>
      <c r="D243" s="5" t="n"/>
      <c r="E243" s="5" t="n"/>
      <c r="F243" s="5" t="n"/>
      <c r="G243" s="5" t="n"/>
      <c r="H243" s="13">
        <f>IF(AND(ISNUMBER(C243),C243&gt;0,ISNUMBER(G243)),G243/C243-1,"")</f>
        <v/>
      </c>
    </row>
    <row r="244">
      <c r="A244" s="12" t="inlineStr">
        <is>
          <t>326</t>
        </is>
      </c>
      <c r="B244" s="4" t="n">
        <v>3</v>
      </c>
      <c r="C244" s="5" t="n">
        <v>114</v>
      </c>
      <c r="D244" s="5" t="n"/>
      <c r="E244" s="5" t="n"/>
      <c r="F244" s="5" t="n"/>
      <c r="G244" s="5" t="n"/>
      <c r="H244" s="13">
        <f>IF(AND(ISNUMBER(C244),C244&gt;0,ISNUMBER(G244)),G244/C244-1,"")</f>
        <v/>
      </c>
    </row>
    <row r="245">
      <c r="A245" s="12" t="inlineStr">
        <is>
          <t>327</t>
        </is>
      </c>
      <c r="B245" s="4" t="n">
        <v>3</v>
      </c>
      <c r="C245" s="5" t="n">
        <v>22</v>
      </c>
      <c r="D245" s="5" t="n"/>
      <c r="E245" s="5" t="n"/>
      <c r="F245" s="5" t="n"/>
      <c r="G245" s="5" t="n"/>
      <c r="H245" s="13">
        <f>IF(AND(ISNUMBER(C245),C245&gt;0,ISNUMBER(G245)),G245/C245-1,"")</f>
        <v/>
      </c>
    </row>
    <row r="246">
      <c r="A246" s="12" t="inlineStr">
        <is>
          <t>328</t>
        </is>
      </c>
      <c r="B246" s="4" t="n">
        <v>3</v>
      </c>
      <c r="C246" s="5" t="n">
        <v>4</v>
      </c>
      <c r="D246" s="5" t="n"/>
      <c r="E246" s="5" t="n"/>
      <c r="F246" s="5" t="n"/>
      <c r="G246" s="5" t="n"/>
      <c r="H246" s="13">
        <f>IF(AND(ISNUMBER(C246),C246&gt;0,ISNUMBER(G246)),G246/C246-1,"")</f>
        <v/>
      </c>
    </row>
    <row r="247">
      <c r="A247" s="12" t="inlineStr">
        <is>
          <t>329</t>
        </is>
      </c>
      <c r="B247" s="4" t="n">
        <v>3</v>
      </c>
      <c r="C247" s="5" t="n">
        <v>24</v>
      </c>
      <c r="D247" s="5" t="n">
        <v>38</v>
      </c>
      <c r="E247" s="5" t="n">
        <v>68</v>
      </c>
      <c r="F247" s="5" t="n">
        <v>40</v>
      </c>
      <c r="G247" s="5" t="n">
        <v>35</v>
      </c>
      <c r="H247" s="13">
        <f>IF(AND(ISNUMBER(C247),C247&gt;0,ISNUMBER(G247)),G247/C247-1,"")</f>
        <v/>
      </c>
    </row>
    <row r="248">
      <c r="A248" s="12" t="inlineStr">
        <is>
          <t>330</t>
        </is>
      </c>
      <c r="B248" s="4" t="n">
        <v>3</v>
      </c>
      <c r="C248" s="5" t="n">
        <v>168</v>
      </c>
      <c r="D248" s="5" t="n"/>
      <c r="E248" s="5" t="n"/>
      <c r="F248" s="5" t="n"/>
      <c r="G248" s="5" t="n"/>
      <c r="H248" s="13">
        <f>IF(AND(ISNUMBER(C248),C248&gt;0,ISNUMBER(G248)),G248/C248-1,"")</f>
        <v/>
      </c>
    </row>
    <row r="249">
      <c r="A249" s="12" t="inlineStr">
        <is>
          <t>331</t>
        </is>
      </c>
      <c r="B249" s="4" t="n">
        <v>3</v>
      </c>
      <c r="C249" s="5" t="n">
        <v>135</v>
      </c>
      <c r="D249" s="5" t="n">
        <v>170</v>
      </c>
      <c r="E249" s="5" t="n">
        <v>153</v>
      </c>
      <c r="F249" s="5" t="n">
        <v>196</v>
      </c>
      <c r="G249" s="5" t="n">
        <v>161</v>
      </c>
      <c r="H249" s="13">
        <f>IF(AND(ISNUMBER(C249),C249&gt;0,ISNUMBER(G249)),G249/C249-1,"")</f>
        <v/>
      </c>
    </row>
    <row r="250">
      <c r="A250" s="12" t="inlineStr">
        <is>
          <t>332</t>
        </is>
      </c>
      <c r="B250" s="4" t="n">
        <v>3</v>
      </c>
      <c r="C250" s="5" t="n">
        <v>21</v>
      </c>
      <c r="D250" s="5" t="n"/>
      <c r="E250" s="5" t="n"/>
      <c r="F250" s="5" t="n"/>
      <c r="G250" s="5" t="n"/>
      <c r="H250" s="13">
        <f>IF(AND(ISNUMBER(C250),C250&gt;0,ISNUMBER(G250)),G250/C250-1,"")</f>
        <v/>
      </c>
    </row>
    <row r="251">
      <c r="A251" s="12" t="inlineStr">
        <is>
          <t>333</t>
        </is>
      </c>
      <c r="B251" s="4" t="n">
        <v>3</v>
      </c>
      <c r="C251" s="5" t="n">
        <v>494</v>
      </c>
      <c r="D251" s="5" t="n"/>
      <c r="E251" s="5" t="n"/>
      <c r="F251" s="5" t="n"/>
      <c r="G251" s="5" t="n"/>
      <c r="H251" s="13">
        <f>IF(AND(ISNUMBER(C251),C251&gt;0,ISNUMBER(G251)),G251/C251-1,"")</f>
        <v/>
      </c>
    </row>
    <row r="252">
      <c r="A252" s="12" t="inlineStr">
        <is>
          <t>334</t>
        </is>
      </c>
      <c r="B252" s="4" t="n">
        <v>3</v>
      </c>
      <c r="C252" s="5" t="n">
        <v>8</v>
      </c>
      <c r="D252" s="5" t="n"/>
      <c r="E252" s="5" t="n"/>
      <c r="F252" s="5" t="n"/>
      <c r="G252" s="5" t="n"/>
      <c r="H252" s="13">
        <f>IF(AND(ISNUMBER(C252),C252&gt;0,ISNUMBER(G252)),G252/C252-1,"")</f>
        <v/>
      </c>
    </row>
    <row r="253">
      <c r="A253" s="12" t="inlineStr">
        <is>
          <t>335</t>
        </is>
      </c>
      <c r="B253" s="4" t="n">
        <v>3</v>
      </c>
      <c r="C253" s="5" t="n">
        <v>39</v>
      </c>
      <c r="D253" s="5" t="n">
        <v>85</v>
      </c>
      <c r="E253" s="5" t="n">
        <v>40</v>
      </c>
      <c r="F253" s="5" t="n">
        <v>74</v>
      </c>
      <c r="G253" s="5" t="n">
        <v>74</v>
      </c>
      <c r="H253" s="13">
        <f>IF(AND(ISNUMBER(C253),C253&gt;0,ISNUMBER(G253)),G253/C253-1,"")</f>
        <v/>
      </c>
    </row>
    <row r="254">
      <c r="A254" s="12" t="inlineStr">
        <is>
          <t>339</t>
        </is>
      </c>
      <c r="B254" s="4" t="n">
        <v>3</v>
      </c>
      <c r="C254" s="5" t="n">
        <v>50</v>
      </c>
      <c r="D254" s="5" t="n">
        <v>70</v>
      </c>
      <c r="E254" s="5" t="n">
        <v>57</v>
      </c>
      <c r="F254" s="5" t="n">
        <v>57</v>
      </c>
      <c r="G254" s="5" t="n">
        <v>69</v>
      </c>
      <c r="H254" s="13">
        <f>IF(AND(ISNUMBER(C254),C254&gt;0,ISNUMBER(G254)),G254/C254-1,"")</f>
        <v/>
      </c>
    </row>
    <row r="255">
      <c r="A255" s="12" t="inlineStr">
        <is>
          <t>340</t>
        </is>
      </c>
      <c r="B255" s="4" t="n">
        <v>3</v>
      </c>
      <c r="C255" s="5" t="n">
        <v>444</v>
      </c>
      <c r="D255" s="5" t="n">
        <v>399</v>
      </c>
      <c r="E255" s="5" t="n">
        <v>424</v>
      </c>
      <c r="F255" s="5" t="n">
        <v>374</v>
      </c>
      <c r="G255" s="5" t="n">
        <v>331</v>
      </c>
      <c r="H255" s="13">
        <f>IF(AND(ISNUMBER(C255),C255&gt;0,ISNUMBER(G255)),G255/C255-1,"")</f>
        <v/>
      </c>
    </row>
    <row r="256">
      <c r="A256" s="12" t="inlineStr">
        <is>
          <t>341</t>
        </is>
      </c>
      <c r="B256" s="4" t="n">
        <v>3</v>
      </c>
      <c r="C256" s="5" t="n">
        <v>58</v>
      </c>
      <c r="D256" s="5" t="n"/>
      <c r="E256" s="5" t="n"/>
      <c r="F256" s="5" t="n"/>
      <c r="G256" s="5" t="n"/>
      <c r="H256" s="13">
        <f>IF(AND(ISNUMBER(C256),C256&gt;0,ISNUMBER(G256)),G256/C256-1,"")</f>
        <v/>
      </c>
    </row>
    <row r="257">
      <c r="A257" s="12" t="inlineStr">
        <is>
          <t>343</t>
        </is>
      </c>
      <c r="B257" s="4" t="n">
        <v>3</v>
      </c>
      <c r="C257" s="5" t="n">
        <v>50</v>
      </c>
      <c r="D257" s="5" t="n">
        <v>54</v>
      </c>
      <c r="E257" s="5" t="n">
        <v>66</v>
      </c>
      <c r="F257" s="5" t="n">
        <v>57</v>
      </c>
      <c r="G257" s="5" t="n">
        <v>52</v>
      </c>
      <c r="H257" s="13">
        <f>IF(AND(ISNUMBER(C257),C257&gt;0,ISNUMBER(G257)),G257/C257-1,"")</f>
        <v/>
      </c>
    </row>
    <row r="258">
      <c r="A258" s="12" t="inlineStr">
        <is>
          <t>350</t>
        </is>
      </c>
      <c r="B258" s="4" t="n">
        <v>3</v>
      </c>
      <c r="C258" s="5" t="n">
        <v>29</v>
      </c>
      <c r="D258" s="5" t="n">
        <v>55</v>
      </c>
      <c r="E258" s="5" t="n">
        <v>50</v>
      </c>
      <c r="F258" s="5" t="n">
        <v>74</v>
      </c>
      <c r="G258" s="5" t="n">
        <v>49</v>
      </c>
      <c r="H258" s="13">
        <f>IF(AND(ISNUMBER(C258),C258&gt;0,ISNUMBER(G258)),G258/C258-1,"")</f>
        <v/>
      </c>
    </row>
    <row r="259">
      <c r="A259" s="12" t="inlineStr">
        <is>
          <t>360</t>
        </is>
      </c>
      <c r="B259" s="4" t="n">
        <v>3</v>
      </c>
      <c r="C259" s="5" t="n">
        <v>200</v>
      </c>
      <c r="D259" s="5" t="n">
        <v>264</v>
      </c>
      <c r="E259" s="5" t="n">
        <v>201</v>
      </c>
      <c r="F259" s="5" t="n">
        <v>260</v>
      </c>
      <c r="G259" s="5" t="n">
        <v>262</v>
      </c>
      <c r="H259" s="13">
        <f>IF(AND(ISNUMBER(C259),C259&gt;0,ISNUMBER(G259)),G259/C259-1,"")</f>
        <v/>
      </c>
    </row>
    <row r="260">
      <c r="A260" s="12" t="inlineStr">
        <is>
          <t>361</t>
        </is>
      </c>
      <c r="B260" s="4" t="n">
        <v>3</v>
      </c>
      <c r="C260" s="5" t="n"/>
      <c r="D260" s="5" t="n">
        <v>9</v>
      </c>
      <c r="E260" s="5" t="n">
        <v>10</v>
      </c>
      <c r="F260" s="5" t="n">
        <v>3</v>
      </c>
      <c r="G260" s="5" t="n">
        <v>8</v>
      </c>
      <c r="H260" s="13">
        <f>IF(AND(ISNUMBER(C260),C260&gt;0,ISNUMBER(G260)),G260/C260-1,"")</f>
        <v/>
      </c>
    </row>
    <row r="261">
      <c r="A261" s="12" t="inlineStr">
        <is>
          <t>362</t>
        </is>
      </c>
      <c r="B261" s="4" t="n">
        <v>3</v>
      </c>
      <c r="C261" s="5" t="n">
        <v>3</v>
      </c>
      <c r="D261" s="5" t="n"/>
      <c r="E261" s="5" t="n"/>
      <c r="F261" s="5" t="n"/>
      <c r="G261" s="5" t="n"/>
      <c r="H261" s="13">
        <f>IF(AND(ISNUMBER(C261),C261&gt;0,ISNUMBER(G261)),G261/C261-1,"")</f>
        <v/>
      </c>
    </row>
    <row r="262">
      <c r="A262" s="12" t="inlineStr">
        <is>
          <t>370</t>
        </is>
      </c>
      <c r="B262" s="4" t="n">
        <v>3</v>
      </c>
      <c r="C262" s="5" t="n">
        <v>20</v>
      </c>
      <c r="D262" s="5" t="n">
        <v>15</v>
      </c>
      <c r="E262" s="5" t="n">
        <v>43</v>
      </c>
      <c r="F262" s="5" t="n">
        <v>25</v>
      </c>
      <c r="G262" s="5" t="n">
        <v>37</v>
      </c>
      <c r="H262" s="13">
        <f>IF(AND(ISNUMBER(C262),C262&gt;0,ISNUMBER(G262)),G262/C262-1,"")</f>
        <v/>
      </c>
    </row>
    <row r="263">
      <c r="A263" s="12" t="inlineStr">
        <is>
          <t>380</t>
        </is>
      </c>
      <c r="B263" s="4" t="n">
        <v>3</v>
      </c>
      <c r="C263" s="5" t="n">
        <v>467</v>
      </c>
      <c r="D263" s="5" t="n">
        <v>396</v>
      </c>
      <c r="E263" s="5" t="n">
        <v>360</v>
      </c>
      <c r="F263" s="5" t="n">
        <v>443</v>
      </c>
      <c r="G263" s="5" t="n">
        <v>366</v>
      </c>
      <c r="H263" s="13">
        <f>IF(AND(ISNUMBER(C263),C263&gt;0,ISNUMBER(G263)),G263/C263-1,"")</f>
        <v/>
      </c>
    </row>
    <row r="264">
      <c r="A264" s="12" t="inlineStr">
        <is>
          <t>388</t>
        </is>
      </c>
      <c r="B264" s="4" t="n">
        <v>3</v>
      </c>
      <c r="C264" s="5" t="n">
        <v>137</v>
      </c>
      <c r="D264" s="5" t="n">
        <v>161</v>
      </c>
      <c r="E264" s="5" t="n">
        <v>185</v>
      </c>
      <c r="F264" s="5" t="n">
        <v>175</v>
      </c>
      <c r="G264" s="5" t="n">
        <v>145</v>
      </c>
      <c r="H264" s="13">
        <f>IF(AND(ISNUMBER(C264),C264&gt;0,ISNUMBER(G264)),G264/C264-1,"")</f>
        <v/>
      </c>
    </row>
    <row r="265">
      <c r="A265" s="12" t="inlineStr">
        <is>
          <t>390</t>
        </is>
      </c>
      <c r="B265" s="4" t="n">
        <v>3</v>
      </c>
      <c r="C265" s="5" t="n">
        <v>71</v>
      </c>
      <c r="D265" s="5" t="n">
        <v>84</v>
      </c>
      <c r="E265" s="5" t="n">
        <v>72</v>
      </c>
      <c r="F265" s="5" t="n">
        <v>128</v>
      </c>
      <c r="G265" s="5" t="n">
        <v>70</v>
      </c>
      <c r="H265" s="13">
        <f>IF(AND(ISNUMBER(C265),C265&gt;0,ISNUMBER(G265)),G265/C265-1,"")</f>
        <v/>
      </c>
    </row>
    <row r="266">
      <c r="A266" s="12" t="inlineStr">
        <is>
          <t>391</t>
        </is>
      </c>
      <c r="B266" s="4" t="n">
        <v>3</v>
      </c>
      <c r="C266" s="5" t="n">
        <v>160</v>
      </c>
      <c r="D266" s="5" t="n">
        <v>214</v>
      </c>
      <c r="E266" s="5" t="n">
        <v>220</v>
      </c>
      <c r="F266" s="5" t="n">
        <v>238</v>
      </c>
      <c r="G266" s="5" t="n">
        <v>229</v>
      </c>
      <c r="H266" s="13">
        <f>IF(AND(ISNUMBER(C266),C266&gt;0,ISNUMBER(G266)),G266/C266-1,"")</f>
        <v/>
      </c>
    </row>
    <row r="267">
      <c r="A267" s="12" t="inlineStr">
        <is>
          <t>392</t>
        </is>
      </c>
      <c r="B267" s="4" t="n">
        <v>3</v>
      </c>
      <c r="C267" s="5" t="n">
        <v>38</v>
      </c>
      <c r="D267" s="5" t="n">
        <v>50</v>
      </c>
      <c r="E267" s="5" t="n">
        <v>40</v>
      </c>
      <c r="F267" s="5" t="n">
        <v>11</v>
      </c>
      <c r="G267" s="5" t="n">
        <v>14</v>
      </c>
      <c r="H267" s="13">
        <f>IF(AND(ISNUMBER(C267),C267&gt;0,ISNUMBER(G267)),G267/C267-1,"")</f>
        <v/>
      </c>
    </row>
    <row r="268">
      <c r="A268" s="12" t="inlineStr">
        <is>
          <t>393</t>
        </is>
      </c>
      <c r="B268" s="4" t="n">
        <v>3</v>
      </c>
      <c r="C268" s="5" t="n">
        <v>218</v>
      </c>
      <c r="D268" s="5" t="n">
        <v>246</v>
      </c>
      <c r="E268" s="5" t="n">
        <v>233</v>
      </c>
      <c r="F268" s="5" t="n">
        <v>251</v>
      </c>
      <c r="G268" s="5" t="n">
        <v>244</v>
      </c>
      <c r="H268" s="13">
        <f>IF(AND(ISNUMBER(C268),C268&gt;0,ISNUMBER(G268)),G268/C268-1,"")</f>
        <v/>
      </c>
    </row>
    <row r="269">
      <c r="A269" s="12" t="inlineStr">
        <is>
          <t>400</t>
        </is>
      </c>
      <c r="B269" s="4" t="n">
        <v>4</v>
      </c>
      <c r="C269" s="5" t="n">
        <v>408</v>
      </c>
      <c r="D269" s="5" t="n">
        <v>392</v>
      </c>
      <c r="E269" s="5" t="n">
        <v>465</v>
      </c>
      <c r="F269" s="5" t="n">
        <v>435</v>
      </c>
      <c r="G269" s="5" t="n">
        <v>366</v>
      </c>
      <c r="H269" s="13">
        <f>IF(AND(ISNUMBER(C269),C269&gt;0,ISNUMBER(G269)),G269/C269-1,"")</f>
        <v/>
      </c>
    </row>
    <row r="270">
      <c r="A270" s="12" t="inlineStr">
        <is>
          <t>401</t>
        </is>
      </c>
      <c r="B270" s="4" t="n">
        <v>4</v>
      </c>
      <c r="C270" s="5" t="n">
        <v>337</v>
      </c>
      <c r="D270" s="5" t="n">
        <v>406</v>
      </c>
      <c r="E270" s="5" t="n">
        <v>320</v>
      </c>
      <c r="F270" s="5" t="n">
        <v>272</v>
      </c>
      <c r="G270" s="5" t="n">
        <v>291</v>
      </c>
      <c r="H270" s="13">
        <f>IF(AND(ISNUMBER(C270),C270&gt;0,ISNUMBER(G270)),G270/C270-1,"")</f>
        <v/>
      </c>
    </row>
    <row r="271">
      <c r="A271" s="12" t="inlineStr">
        <is>
          <t>403</t>
        </is>
      </c>
      <c r="B271" s="4" t="n">
        <v>4</v>
      </c>
      <c r="C271" s="5" t="n">
        <v>55</v>
      </c>
      <c r="D271" s="5" t="n">
        <v>68</v>
      </c>
      <c r="E271" s="5" t="n">
        <v>64</v>
      </c>
      <c r="F271" s="5" t="n">
        <v>99</v>
      </c>
      <c r="G271" s="5" t="n">
        <v>42</v>
      </c>
      <c r="H271" s="13">
        <f>IF(AND(ISNUMBER(C271),C271&gt;0,ISNUMBER(G271)),G271/C271-1,"")</f>
        <v/>
      </c>
    </row>
    <row r="272">
      <c r="A272" s="12" t="inlineStr">
        <is>
          <t>404</t>
        </is>
      </c>
      <c r="B272" s="4" t="n">
        <v>4</v>
      </c>
      <c r="C272" s="5" t="n">
        <v>608</v>
      </c>
      <c r="D272" s="5" t="n">
        <v>710</v>
      </c>
      <c r="E272" s="5" t="n">
        <v>580</v>
      </c>
      <c r="F272" s="5" t="n">
        <v>574</v>
      </c>
      <c r="G272" s="5" t="n">
        <v>503</v>
      </c>
      <c r="H272" s="13">
        <f>IF(AND(ISNUMBER(C272),C272&gt;0,ISNUMBER(G272)),G272/C272-1,"")</f>
        <v/>
      </c>
    </row>
    <row r="273">
      <c r="A273" s="12" t="inlineStr">
        <is>
          <t>405</t>
        </is>
      </c>
      <c r="B273" s="4" t="n">
        <v>4</v>
      </c>
      <c r="C273" s="5" t="n">
        <v>145</v>
      </c>
      <c r="D273" s="5" t="n">
        <v>209</v>
      </c>
      <c r="E273" s="5" t="n">
        <v>188</v>
      </c>
      <c r="F273" s="5" t="n">
        <v>242</v>
      </c>
      <c r="G273" s="5" t="n">
        <v>207</v>
      </c>
      <c r="H273" s="13">
        <f>IF(AND(ISNUMBER(C273),C273&gt;0,ISNUMBER(G273)),G273/C273-1,"")</f>
        <v/>
      </c>
    </row>
    <row r="274">
      <c r="A274" s="12" t="inlineStr">
        <is>
          <t>406</t>
        </is>
      </c>
      <c r="B274" s="4" t="n">
        <v>4</v>
      </c>
      <c r="C274" s="5" t="n">
        <v>276</v>
      </c>
      <c r="D274" s="5" t="n">
        <v>295</v>
      </c>
      <c r="E274" s="5" t="n">
        <v>233</v>
      </c>
      <c r="F274" s="5" t="n">
        <v>307</v>
      </c>
      <c r="G274" s="5" t="n">
        <v>207</v>
      </c>
      <c r="H274" s="13">
        <f>IF(AND(ISNUMBER(C274),C274&gt;0,ISNUMBER(G274)),G274/C274-1,"")</f>
        <v/>
      </c>
    </row>
    <row r="275">
      <c r="A275" s="12" t="inlineStr">
        <is>
          <t>410</t>
        </is>
      </c>
      <c r="B275" s="4" t="n">
        <v>4</v>
      </c>
      <c r="C275" s="5" t="n">
        <v>114</v>
      </c>
      <c r="D275" s="5" t="n">
        <v>143</v>
      </c>
      <c r="E275" s="5" t="n">
        <v>92</v>
      </c>
      <c r="F275" s="5" t="n">
        <v>127</v>
      </c>
      <c r="G275" s="5" t="n">
        <v>129</v>
      </c>
      <c r="H275" s="13">
        <f>IF(AND(ISNUMBER(C275),C275&gt;0,ISNUMBER(G275)),G275/C275-1,"")</f>
        <v/>
      </c>
    </row>
    <row r="276">
      <c r="A276" s="12" t="inlineStr">
        <is>
          <t>411</t>
        </is>
      </c>
      <c r="B276" s="4" t="n">
        <v>4</v>
      </c>
      <c r="C276" s="5" t="n">
        <v>1104</v>
      </c>
      <c r="D276" s="5" t="n">
        <v>1041</v>
      </c>
      <c r="E276" s="5" t="n">
        <v>953</v>
      </c>
      <c r="F276" s="5" t="n">
        <v>1100</v>
      </c>
      <c r="G276" s="5" t="n">
        <v>831</v>
      </c>
      <c r="H276" s="13">
        <f>IF(AND(ISNUMBER(C276),C276&gt;0,ISNUMBER(G276)),G276/C276-1,"")</f>
        <v/>
      </c>
    </row>
    <row r="277">
      <c r="A277" s="12" t="inlineStr">
        <is>
          <t>412</t>
        </is>
      </c>
      <c r="B277" s="4" t="n">
        <v>4</v>
      </c>
      <c r="C277" s="5" t="n">
        <v>474</v>
      </c>
      <c r="D277" s="5" t="n">
        <v>451</v>
      </c>
      <c r="E277" s="5" t="n">
        <v>536</v>
      </c>
      <c r="F277" s="5" t="n">
        <v>524</v>
      </c>
      <c r="G277" s="5" t="n">
        <v>379</v>
      </c>
      <c r="H277" s="13">
        <f>IF(AND(ISNUMBER(C277),C277&gt;0,ISNUMBER(G277)),G277/C277-1,"")</f>
        <v/>
      </c>
    </row>
    <row r="278">
      <c r="A278" s="12" t="inlineStr">
        <is>
          <t>413</t>
        </is>
      </c>
      <c r="B278" s="4" t="n">
        <v>4</v>
      </c>
      <c r="C278" s="5" t="n">
        <v>631</v>
      </c>
      <c r="D278" s="5" t="n">
        <v>770</v>
      </c>
      <c r="E278" s="5" t="n">
        <v>756</v>
      </c>
      <c r="F278" s="5" t="n">
        <v>907</v>
      </c>
      <c r="G278" s="5" t="n">
        <v>698</v>
      </c>
      <c r="H278" s="13">
        <f>IF(AND(ISNUMBER(C278),C278&gt;0,ISNUMBER(G278)),G278/C278-1,"")</f>
        <v/>
      </c>
    </row>
    <row r="279">
      <c r="A279" s="12" t="inlineStr">
        <is>
          <t>415</t>
        </is>
      </c>
      <c r="B279" s="4" t="n">
        <v>4</v>
      </c>
      <c r="C279" s="5" t="n"/>
      <c r="D279" s="5" t="n">
        <v>13</v>
      </c>
      <c r="E279" s="5" t="n">
        <v>3</v>
      </c>
      <c r="F279" s="5" t="n">
        <v>15</v>
      </c>
      <c r="G279" s="5" t="n">
        <v>23</v>
      </c>
      <c r="H279" s="13">
        <f>IF(AND(ISNUMBER(C279),C279&gt;0,ISNUMBER(G279)),G279/C279-1,"")</f>
        <v/>
      </c>
    </row>
    <row r="280">
      <c r="A280" s="12" t="inlineStr">
        <is>
          <t>416</t>
        </is>
      </c>
      <c r="B280" s="4" t="n">
        <v>4</v>
      </c>
      <c r="C280" s="5" t="n">
        <v>189</v>
      </c>
      <c r="D280" s="5" t="n">
        <v>225</v>
      </c>
      <c r="E280" s="5" t="n">
        <v>258</v>
      </c>
      <c r="F280" s="5" t="n">
        <v>287</v>
      </c>
      <c r="G280" s="5" t="n">
        <v>233</v>
      </c>
      <c r="H280" s="13">
        <f>IF(AND(ISNUMBER(C280),C280&gt;0,ISNUMBER(G280)),G280/C280-1,"")</f>
        <v/>
      </c>
    </row>
    <row r="281">
      <c r="A281" s="12" t="inlineStr">
        <is>
          <t>417</t>
        </is>
      </c>
      <c r="B281" s="4" t="n">
        <v>4</v>
      </c>
      <c r="C281" s="5" t="n">
        <v>65</v>
      </c>
      <c r="D281" s="5" t="n">
        <v>48</v>
      </c>
      <c r="E281" s="5" t="n">
        <v>47</v>
      </c>
      <c r="F281" s="5" t="n">
        <v>65</v>
      </c>
      <c r="G281" s="5" t="n">
        <v>31</v>
      </c>
      <c r="H281" s="13">
        <f>IF(AND(ISNUMBER(C281),C281&gt;0,ISNUMBER(G281)),G281/C281-1,"")</f>
        <v/>
      </c>
    </row>
    <row r="282">
      <c r="A282" s="12" t="inlineStr">
        <is>
          <t>418</t>
        </is>
      </c>
      <c r="B282" s="4" t="n">
        <v>4</v>
      </c>
      <c r="C282" s="5" t="n">
        <v>150</v>
      </c>
      <c r="D282" s="5" t="n">
        <v>242</v>
      </c>
      <c r="E282" s="5" t="n">
        <v>138</v>
      </c>
      <c r="F282" s="5" t="n">
        <v>199</v>
      </c>
      <c r="G282" s="5" t="n">
        <v>159</v>
      </c>
      <c r="H282" s="13">
        <f>IF(AND(ISNUMBER(C282),C282&gt;0,ISNUMBER(G282)),G282/C282-1,"")</f>
        <v/>
      </c>
    </row>
    <row r="283">
      <c r="A283" s="12" t="inlineStr">
        <is>
          <t>419</t>
        </is>
      </c>
      <c r="B283" s="4" t="n">
        <v>4</v>
      </c>
      <c r="C283" s="5" t="n">
        <v>127</v>
      </c>
      <c r="D283" s="5" t="n">
        <v>225</v>
      </c>
      <c r="E283" s="5" t="n">
        <v>218</v>
      </c>
      <c r="F283" s="5" t="n">
        <v>271</v>
      </c>
      <c r="G283" s="5" t="n">
        <v>228</v>
      </c>
      <c r="H283" s="13">
        <f>IF(AND(ISNUMBER(C283),C283&gt;0,ISNUMBER(G283)),G283/C283-1,"")</f>
        <v/>
      </c>
    </row>
    <row r="284">
      <c r="A284" s="12" t="inlineStr">
        <is>
          <t>420</t>
        </is>
      </c>
      <c r="B284" s="4" t="n">
        <v>4</v>
      </c>
      <c r="C284" s="5" t="n">
        <v>38</v>
      </c>
      <c r="D284" s="5" t="n">
        <v>51</v>
      </c>
      <c r="E284" s="5" t="n">
        <v>52</v>
      </c>
      <c r="F284" s="5" t="n">
        <v>43</v>
      </c>
      <c r="G284" s="5" t="n">
        <v>52</v>
      </c>
      <c r="H284" s="13">
        <f>IF(AND(ISNUMBER(C284),C284&gt;0,ISNUMBER(G284)),G284/C284-1,"")</f>
        <v/>
      </c>
    </row>
    <row r="285">
      <c r="A285" s="12" t="inlineStr">
        <is>
          <t>421</t>
        </is>
      </c>
      <c r="B285" s="4" t="n">
        <v>4</v>
      </c>
      <c r="C285" s="5" t="n">
        <v>251</v>
      </c>
      <c r="D285" s="5" t="n">
        <v>379</v>
      </c>
      <c r="E285" s="5" t="n">
        <v>427</v>
      </c>
      <c r="F285" s="5" t="n">
        <v>407</v>
      </c>
      <c r="G285" s="5" t="n">
        <v>397</v>
      </c>
      <c r="H285" s="13">
        <f>IF(AND(ISNUMBER(C285),C285&gt;0,ISNUMBER(G285)),G285/C285-1,"")</f>
        <v/>
      </c>
    </row>
    <row r="286">
      <c r="A286" s="12" t="inlineStr">
        <is>
          <t>422</t>
        </is>
      </c>
      <c r="B286" s="4" t="n">
        <v>4</v>
      </c>
      <c r="C286" s="5" t="n">
        <v>134</v>
      </c>
      <c r="D286" s="5" t="n">
        <v>119</v>
      </c>
      <c r="E286" s="5" t="n">
        <v>195</v>
      </c>
      <c r="F286" s="5" t="n">
        <v>137</v>
      </c>
      <c r="G286" s="5" t="n">
        <v>187</v>
      </c>
      <c r="H286" s="13">
        <f>IF(AND(ISNUMBER(C286),C286&gt;0,ISNUMBER(G286)),G286/C286-1,"")</f>
        <v/>
      </c>
    </row>
    <row r="287">
      <c r="A287" s="12" t="inlineStr">
        <is>
          <t>423</t>
        </is>
      </c>
      <c r="B287" s="4" t="n">
        <v>4</v>
      </c>
      <c r="C287" s="5" t="n">
        <v>110</v>
      </c>
      <c r="D287" s="5" t="n"/>
      <c r="E287" s="5" t="n"/>
      <c r="F287" s="5" t="n"/>
      <c r="G287" s="5" t="n"/>
      <c r="H287" s="13">
        <f>IF(AND(ISNUMBER(C287),C287&gt;0,ISNUMBER(G287)),G287/C287-1,"")</f>
        <v/>
      </c>
    </row>
    <row r="288">
      <c r="A288" s="12" t="inlineStr">
        <is>
          <t>424</t>
        </is>
      </c>
      <c r="B288" s="4" t="n">
        <v>4</v>
      </c>
      <c r="C288" s="5" t="n">
        <v>12</v>
      </c>
      <c r="D288" s="5" t="n">
        <v>23</v>
      </c>
      <c r="E288" s="5" t="n">
        <v>7</v>
      </c>
      <c r="F288" s="5" t="n">
        <v>15</v>
      </c>
      <c r="G288" s="5" t="n">
        <v>62</v>
      </c>
      <c r="H288" s="13">
        <f>IF(AND(ISNUMBER(C288),C288&gt;0,ISNUMBER(G288)),G288/C288-1,"")</f>
        <v/>
      </c>
    </row>
    <row r="289">
      <c r="A289" s="12" t="inlineStr">
        <is>
          <t>425</t>
        </is>
      </c>
      <c r="B289" s="4" t="n">
        <v>4</v>
      </c>
      <c r="C289" s="5" t="n">
        <v>106</v>
      </c>
      <c r="D289" s="5" t="n">
        <v>115</v>
      </c>
      <c r="E289" s="5" t="n">
        <v>132</v>
      </c>
      <c r="F289" s="5" t="n">
        <v>110</v>
      </c>
      <c r="G289" s="5" t="n">
        <v>114</v>
      </c>
      <c r="H289" s="13">
        <f>IF(AND(ISNUMBER(C289),C289&gt;0,ISNUMBER(G289)),G289/C289-1,"")</f>
        <v/>
      </c>
    </row>
    <row r="290">
      <c r="A290" s="12" t="inlineStr">
        <is>
          <t>426</t>
        </is>
      </c>
      <c r="B290" s="4" t="n">
        <v>4</v>
      </c>
      <c r="C290" s="5" t="n">
        <v>127</v>
      </c>
      <c r="D290" s="5" t="n">
        <v>159</v>
      </c>
      <c r="E290" s="5" t="n">
        <v>138</v>
      </c>
      <c r="F290" s="5" t="n">
        <v>129</v>
      </c>
      <c r="G290" s="5" t="n">
        <v>113</v>
      </c>
      <c r="H290" s="13">
        <f>IF(AND(ISNUMBER(C290),C290&gt;0,ISNUMBER(G290)),G290/C290-1,"")</f>
        <v/>
      </c>
    </row>
    <row r="291">
      <c r="A291" s="12" t="inlineStr">
        <is>
          <t>432</t>
        </is>
      </c>
      <c r="B291" s="4" t="n">
        <v>4</v>
      </c>
      <c r="C291" s="5" t="n">
        <v>75</v>
      </c>
      <c r="D291" s="5" t="n"/>
      <c r="E291" s="5" t="n"/>
      <c r="F291" s="5" t="n"/>
      <c r="G291" s="5" t="n"/>
      <c r="H291" s="13">
        <f>IF(AND(ISNUMBER(C291),C291&gt;0,ISNUMBER(G291)),G291/C291-1,"")</f>
        <v/>
      </c>
    </row>
    <row r="292">
      <c r="A292" s="12" t="inlineStr">
        <is>
          <t>441</t>
        </is>
      </c>
      <c r="B292" s="4" t="n">
        <v>4</v>
      </c>
      <c r="C292" s="5" t="n">
        <v>137</v>
      </c>
      <c r="D292" s="5" t="n">
        <v>161</v>
      </c>
      <c r="E292" s="5" t="n">
        <v>185</v>
      </c>
      <c r="F292" s="5" t="n">
        <v>149</v>
      </c>
      <c r="G292" s="5" t="n">
        <v>144</v>
      </c>
      <c r="H292" s="13">
        <f>IF(AND(ISNUMBER(C292),C292&gt;0,ISNUMBER(G292)),G292/C292-1,"")</f>
        <v/>
      </c>
    </row>
    <row r="293">
      <c r="A293" s="12" t="inlineStr">
        <is>
          <t>442</t>
        </is>
      </c>
      <c r="B293" s="4" t="n">
        <v>4</v>
      </c>
      <c r="C293" s="5" t="n">
        <v>70</v>
      </c>
      <c r="D293" s="5" t="n">
        <v>90</v>
      </c>
      <c r="E293" s="5" t="n">
        <v>83</v>
      </c>
      <c r="F293" s="5" t="n">
        <v>79</v>
      </c>
      <c r="G293" s="5" t="n">
        <v>67</v>
      </c>
      <c r="H293" s="13">
        <f>IF(AND(ISNUMBER(C293),C293&gt;0,ISNUMBER(G293)),G293/C293-1,"")</f>
        <v/>
      </c>
    </row>
    <row r="294">
      <c r="A294" s="12" t="inlineStr">
        <is>
          <t>444</t>
        </is>
      </c>
      <c r="B294" s="4" t="n">
        <v>4</v>
      </c>
      <c r="C294" s="5" t="n">
        <v>563</v>
      </c>
      <c r="D294" s="5" t="n">
        <v>379</v>
      </c>
      <c r="E294" s="5" t="n">
        <v>426</v>
      </c>
      <c r="F294" s="5" t="n">
        <v>577</v>
      </c>
      <c r="G294" s="5" t="n">
        <v>491</v>
      </c>
      <c r="H294" s="13">
        <f>IF(AND(ISNUMBER(C294),C294&gt;0,ISNUMBER(G294)),G294/C294-1,"")</f>
        <v/>
      </c>
    </row>
    <row r="295">
      <c r="A295" s="12" t="inlineStr">
        <is>
          <t>445</t>
        </is>
      </c>
      <c r="B295" s="4" t="n">
        <v>4</v>
      </c>
      <c r="C295" s="5" t="n">
        <v>538</v>
      </c>
      <c r="D295" s="5" t="n">
        <v>565</v>
      </c>
      <c r="E295" s="5" t="n">
        <v>548</v>
      </c>
      <c r="F295" s="5" t="n">
        <v>707</v>
      </c>
      <c r="G295" s="5" t="n">
        <v>658</v>
      </c>
      <c r="H295" s="13">
        <f>IF(AND(ISNUMBER(C295),C295&gt;0,ISNUMBER(G295)),G295/C295-1,"")</f>
        <v/>
      </c>
    </row>
    <row r="296">
      <c r="A296" s="12" t="inlineStr">
        <is>
          <t>446</t>
        </is>
      </c>
      <c r="B296" s="4" t="n">
        <v>4</v>
      </c>
      <c r="C296" s="5" t="n">
        <v>225</v>
      </c>
      <c r="D296" s="5" t="n">
        <v>275</v>
      </c>
      <c r="E296" s="5" t="n">
        <v>218</v>
      </c>
      <c r="F296" s="5" t="n">
        <v>231</v>
      </c>
      <c r="G296" s="5" t="n">
        <v>187</v>
      </c>
      <c r="H296" s="13">
        <f>IF(AND(ISNUMBER(C296),C296&gt;0,ISNUMBER(G296)),G296/C296-1,"")</f>
        <v/>
      </c>
    </row>
    <row r="297">
      <c r="A297" s="12" t="inlineStr">
        <is>
          <t>447</t>
        </is>
      </c>
      <c r="B297" s="4" t="n">
        <v>4</v>
      </c>
      <c r="C297" s="5" t="n">
        <v>353</v>
      </c>
      <c r="D297" s="5" t="n">
        <v>544</v>
      </c>
      <c r="E297" s="5" t="n">
        <v>441</v>
      </c>
      <c r="F297" s="5" t="n">
        <v>522</v>
      </c>
      <c r="G297" s="5" t="n">
        <v>376</v>
      </c>
      <c r="H297" s="13">
        <f>IF(AND(ISNUMBER(C297),C297&gt;0,ISNUMBER(G297)),G297/C297-1,"")</f>
        <v/>
      </c>
    </row>
    <row r="298">
      <c r="A298" s="12" t="inlineStr">
        <is>
          <t>448</t>
        </is>
      </c>
      <c r="B298" s="4" t="n">
        <v>4</v>
      </c>
      <c r="C298" s="5" t="n">
        <v>68</v>
      </c>
      <c r="D298" s="5" t="n">
        <v>68</v>
      </c>
      <c r="E298" s="5" t="n">
        <v>84</v>
      </c>
      <c r="F298" s="5" t="n">
        <v>93</v>
      </c>
      <c r="G298" s="5" t="n">
        <v>91</v>
      </c>
      <c r="H298" s="13">
        <f>IF(AND(ISNUMBER(C298),C298&gt;0,ISNUMBER(G298)),G298/C298-1,"")</f>
        <v/>
      </c>
    </row>
    <row r="299">
      <c r="A299" s="12" t="inlineStr">
        <is>
          <t>450</t>
        </is>
      </c>
      <c r="B299" s="4" t="n">
        <v>4</v>
      </c>
      <c r="C299" s="5" t="n">
        <v>76</v>
      </c>
      <c r="D299" s="5" t="n">
        <v>136</v>
      </c>
      <c r="E299" s="5" t="n">
        <v>156</v>
      </c>
      <c r="F299" s="5" t="n">
        <v>140</v>
      </c>
      <c r="G299" s="5" t="n">
        <v>115</v>
      </c>
      <c r="H299" s="13">
        <f>IF(AND(ISNUMBER(C299),C299&gt;0,ISNUMBER(G299)),G299/C299-1,"")</f>
        <v/>
      </c>
    </row>
    <row r="300">
      <c r="A300" s="12" t="inlineStr">
        <is>
          <t>451</t>
        </is>
      </c>
      <c r="B300" s="4" t="n">
        <v>4</v>
      </c>
      <c r="C300" s="5" t="n">
        <v>15</v>
      </c>
      <c r="D300" s="5" t="n">
        <v>13</v>
      </c>
      <c r="E300" s="5" t="n">
        <v>17</v>
      </c>
      <c r="F300" s="5" t="n">
        <v>20</v>
      </c>
      <c r="G300" s="5" t="n">
        <v>3</v>
      </c>
      <c r="H300" s="13">
        <f>IF(AND(ISNUMBER(C300),C300&gt;0,ISNUMBER(G300)),G300/C300-1,"")</f>
        <v/>
      </c>
    </row>
    <row r="301">
      <c r="A301" s="12" t="inlineStr">
        <is>
          <t>452</t>
        </is>
      </c>
      <c r="B301" s="4" t="n">
        <v>4</v>
      </c>
      <c r="C301" s="5" t="n">
        <v>123</v>
      </c>
      <c r="D301" s="5" t="n">
        <v>152</v>
      </c>
      <c r="E301" s="5" t="n">
        <v>93</v>
      </c>
      <c r="F301" s="5" t="n">
        <v>139</v>
      </c>
      <c r="G301" s="5" t="n">
        <v>113</v>
      </c>
      <c r="H301" s="13">
        <f>IF(AND(ISNUMBER(C301),C301&gt;0,ISNUMBER(G301)),G301/C301-1,"")</f>
        <v/>
      </c>
    </row>
    <row r="302">
      <c r="A302" s="12" t="inlineStr">
        <is>
          <t>454</t>
        </is>
      </c>
      <c r="B302" s="4" t="n">
        <v>4</v>
      </c>
      <c r="C302" s="5" t="n">
        <v>31</v>
      </c>
      <c r="D302" s="5" t="n"/>
      <c r="E302" s="5" t="n"/>
      <c r="F302" s="5" t="n"/>
      <c r="G302" s="5" t="n"/>
      <c r="H302" s="13">
        <f>IF(AND(ISNUMBER(C302),C302&gt;0,ISNUMBER(G302)),G302/C302-1,"")</f>
        <v/>
      </c>
    </row>
    <row r="303">
      <c r="A303" s="12" t="inlineStr">
        <is>
          <t>455</t>
        </is>
      </c>
      <c r="B303" s="4" t="n">
        <v>4</v>
      </c>
      <c r="C303" s="5" t="n">
        <v>27</v>
      </c>
      <c r="D303" s="5" t="n">
        <v>24</v>
      </c>
      <c r="E303" s="5" t="n">
        <v>24</v>
      </c>
      <c r="F303" s="5" t="n">
        <v>27</v>
      </c>
      <c r="G303" s="5" t="n">
        <v>16</v>
      </c>
      <c r="H303" s="13">
        <f>IF(AND(ISNUMBER(C303),C303&gt;0,ISNUMBER(G303)),G303/C303-1,"")</f>
        <v/>
      </c>
    </row>
    <row r="304">
      <c r="A304" s="12" t="inlineStr">
        <is>
          <t>471</t>
        </is>
      </c>
      <c r="B304" s="4" t="n">
        <v>4</v>
      </c>
      <c r="C304" s="5" t="n">
        <v>59</v>
      </c>
      <c r="D304" s="5" t="n">
        <v>57</v>
      </c>
      <c r="E304" s="5" t="n">
        <v>74</v>
      </c>
      <c r="F304" s="5" t="n">
        <v>89</v>
      </c>
      <c r="G304" s="5" t="n">
        <v>45</v>
      </c>
      <c r="H304" s="13">
        <f>IF(AND(ISNUMBER(C304),C304&gt;0,ISNUMBER(G304)),G304/C304-1,"")</f>
        <v/>
      </c>
    </row>
    <row r="305">
      <c r="A305" s="12" t="inlineStr">
        <is>
          <t>500</t>
        </is>
      </c>
      <c r="B305" s="4" t="n">
        <v>5</v>
      </c>
      <c r="C305" s="5" t="n">
        <v>212</v>
      </c>
      <c r="D305" s="5" t="n"/>
      <c r="E305" s="5" t="n"/>
      <c r="F305" s="5" t="n"/>
      <c r="G305" s="5" t="n"/>
      <c r="H305" s="13">
        <f>IF(AND(ISNUMBER(C305),C305&gt;0,ISNUMBER(G305)),G305/C305-1,"")</f>
        <v/>
      </c>
    </row>
    <row r="306">
      <c r="A306" s="12" t="inlineStr">
        <is>
          <t>502</t>
        </is>
      </c>
      <c r="B306" s="4" t="n">
        <v>5</v>
      </c>
      <c r="C306" s="5" t="n">
        <v>277</v>
      </c>
      <c r="D306" s="5" t="n">
        <v>413</v>
      </c>
      <c r="E306" s="5" t="n">
        <v>319</v>
      </c>
      <c r="F306" s="5" t="n">
        <v>337</v>
      </c>
      <c r="G306" s="5" t="n">
        <v>302</v>
      </c>
      <c r="H306" s="13">
        <f>IF(AND(ISNUMBER(C306),C306&gt;0,ISNUMBER(G306)),G306/C306-1,"")</f>
        <v/>
      </c>
    </row>
    <row r="307">
      <c r="A307" s="12" t="inlineStr">
        <is>
          <t>510</t>
        </is>
      </c>
      <c r="B307" s="4" t="n">
        <v>5</v>
      </c>
      <c r="C307" s="5" t="n">
        <v>39</v>
      </c>
      <c r="D307" s="5" t="n"/>
      <c r="E307" s="5" t="n"/>
      <c r="F307" s="5" t="n"/>
      <c r="G307" s="5" t="n"/>
      <c r="H307" s="13">
        <f>IF(AND(ISNUMBER(C307),C307&gt;0,ISNUMBER(G307)),G307/C307-1,"")</f>
        <v/>
      </c>
    </row>
    <row r="308">
      <c r="A308" s="12" t="inlineStr">
        <is>
          <t>511</t>
        </is>
      </c>
      <c r="B308" s="4" t="n">
        <v>5</v>
      </c>
      <c r="C308" s="5" t="n">
        <v>123</v>
      </c>
      <c r="D308" s="5" t="n"/>
      <c r="E308" s="5" t="n"/>
      <c r="F308" s="5" t="n"/>
      <c r="G308" s="5" t="n"/>
      <c r="H308" s="13">
        <f>IF(AND(ISNUMBER(C308),C308&gt;0,ISNUMBER(G308)),G308/C308-1,"")</f>
        <v/>
      </c>
    </row>
    <row r="309">
      <c r="A309" s="12" t="inlineStr">
        <is>
          <t>515</t>
        </is>
      </c>
      <c r="B309" s="4" t="n">
        <v>5</v>
      </c>
      <c r="C309" s="5" t="n"/>
      <c r="D309" s="5" t="n">
        <v>356</v>
      </c>
      <c r="E309" s="5" t="n">
        <v>433</v>
      </c>
      <c r="F309" s="5" t="n">
        <v>404</v>
      </c>
      <c r="G309" s="5" t="n">
        <v>416</v>
      </c>
      <c r="H309" s="13">
        <f>IF(AND(ISNUMBER(C309),C309&gt;0,ISNUMBER(G309)),G309/C309-1,"")</f>
        <v/>
      </c>
    </row>
    <row r="310">
      <c r="A310" s="12" t="inlineStr">
        <is>
          <t>520</t>
        </is>
      </c>
      <c r="B310" s="4" t="n">
        <v>5</v>
      </c>
      <c r="C310" s="5" t="n">
        <v>529</v>
      </c>
      <c r="D310" s="5" t="n"/>
      <c r="E310" s="5" t="n"/>
      <c r="F310" s="5" t="n"/>
      <c r="G310" s="5" t="n"/>
      <c r="H310" s="13">
        <f>IF(AND(ISNUMBER(C310),C310&gt;0,ISNUMBER(G310)),G310/C310-1,"")</f>
        <v/>
      </c>
    </row>
    <row r="311">
      <c r="A311" s="12" t="inlineStr">
        <is>
          <t>525</t>
        </is>
      </c>
      <c r="B311" s="4" t="n">
        <v>5</v>
      </c>
      <c r="C311" s="5" t="n"/>
      <c r="D311" s="5" t="n">
        <v>823</v>
      </c>
      <c r="E311" s="5" t="n">
        <v>643</v>
      </c>
      <c r="F311" s="5" t="n">
        <v>801</v>
      </c>
      <c r="G311" s="5" t="n">
        <v>714</v>
      </c>
      <c r="H311" s="13">
        <f>IF(AND(ISNUMBER(C311),C311&gt;0,ISNUMBER(G311)),G311/C311-1,"")</f>
        <v/>
      </c>
    </row>
    <row r="312">
      <c r="A312" s="12" t="inlineStr">
        <is>
          <t>530</t>
        </is>
      </c>
      <c r="B312" s="4" t="n">
        <v>5</v>
      </c>
      <c r="C312" s="5" t="n">
        <v>307</v>
      </c>
      <c r="D312" s="5" t="n"/>
      <c r="E312" s="5" t="n"/>
      <c r="F312" s="5" t="n"/>
      <c r="G312" s="5" t="n"/>
      <c r="H312" s="13">
        <f>IF(AND(ISNUMBER(C312),C312&gt;0,ISNUMBER(G312)),G312/C312-1,"")</f>
        <v/>
      </c>
    </row>
    <row r="313">
      <c r="A313" s="12" t="inlineStr">
        <is>
          <t>535</t>
        </is>
      </c>
      <c r="B313" s="4" t="n">
        <v>5</v>
      </c>
      <c r="C313" s="5" t="n"/>
      <c r="D313" s="5" t="n">
        <v>310</v>
      </c>
      <c r="E313" s="5" t="n">
        <v>339</v>
      </c>
      <c r="F313" s="5" t="n">
        <v>345</v>
      </c>
      <c r="G313" s="5" t="n">
        <v>260</v>
      </c>
      <c r="H313" s="13">
        <f>IF(AND(ISNUMBER(C313),C313&gt;0,ISNUMBER(G313)),G313/C313-1,"")</f>
        <v/>
      </c>
    </row>
    <row r="314">
      <c r="A314" s="12" t="inlineStr">
        <is>
          <t>540</t>
        </is>
      </c>
      <c r="B314" s="4" t="n">
        <v>5</v>
      </c>
      <c r="C314" s="5" t="n">
        <v>78</v>
      </c>
      <c r="D314" s="5" t="n">
        <v>129</v>
      </c>
      <c r="E314" s="5" t="n">
        <v>128</v>
      </c>
      <c r="F314" s="5" t="n">
        <v>166</v>
      </c>
      <c r="G314" s="5" t="n">
        <v>158</v>
      </c>
      <c r="H314" s="13">
        <f>IF(AND(ISNUMBER(C314),C314&gt;0,ISNUMBER(G314)),G314/C314-1,"")</f>
        <v/>
      </c>
    </row>
    <row r="315">
      <c r="A315" s="12" t="inlineStr">
        <is>
          <t>555</t>
        </is>
      </c>
      <c r="B315" s="4" t="n">
        <v>5</v>
      </c>
      <c r="C315" s="5" t="n"/>
      <c r="D315" s="5" t="n">
        <v>80</v>
      </c>
      <c r="E315" s="5" t="n">
        <v>64</v>
      </c>
      <c r="F315" s="5" t="n">
        <v>55</v>
      </c>
      <c r="G315" s="5" t="n">
        <v>86</v>
      </c>
      <c r="H315" s="13">
        <f>IF(AND(ISNUMBER(C315),C315&gt;0,ISNUMBER(G315)),G315/C315-1,"")</f>
        <v/>
      </c>
    </row>
    <row r="316">
      <c r="A316" s="12" t="inlineStr">
        <is>
          <t>560</t>
        </is>
      </c>
      <c r="B316" s="4" t="n">
        <v>5</v>
      </c>
      <c r="C316" s="5" t="n">
        <v>405</v>
      </c>
      <c r="D316" s="5" t="n"/>
      <c r="E316" s="5" t="n"/>
      <c r="F316" s="5" t="n"/>
      <c r="G316" s="5" t="n"/>
      <c r="H316" s="13">
        <f>IF(AND(ISNUMBER(C316),C316&gt;0,ISNUMBER(G316)),G316/C316-1,"")</f>
        <v/>
      </c>
    </row>
    <row r="317">
      <c r="A317" s="12" t="inlineStr">
        <is>
          <t>565</t>
        </is>
      </c>
      <c r="B317" s="4" t="n">
        <v>5</v>
      </c>
      <c r="C317" s="5" t="n"/>
      <c r="D317" s="5" t="n">
        <v>36</v>
      </c>
      <c r="E317" s="5" t="n">
        <v>25</v>
      </c>
      <c r="F317" s="5" t="n">
        <v>29</v>
      </c>
      <c r="G317" s="5" t="n">
        <v>27</v>
      </c>
      <c r="H317" s="13">
        <f>IF(AND(ISNUMBER(C317),C317&gt;0,ISNUMBER(G317)),G317/C317-1,"")</f>
        <v/>
      </c>
    </row>
    <row r="318">
      <c r="A318" s="12" t="inlineStr">
        <is>
          <t>570</t>
        </is>
      </c>
      <c r="B318" s="4" t="n">
        <v>5</v>
      </c>
      <c r="C318" s="5" t="n">
        <v>326</v>
      </c>
      <c r="D318" s="5" t="n"/>
      <c r="E318" s="5" t="n"/>
      <c r="F318" s="5" t="n"/>
      <c r="G318" s="5" t="n"/>
      <c r="H318" s="13">
        <f>IF(AND(ISNUMBER(C318),C318&gt;0,ISNUMBER(G318)),G318/C318-1,"")</f>
        <v/>
      </c>
    </row>
    <row r="319">
      <c r="A319" s="12" t="inlineStr">
        <is>
          <t>575</t>
        </is>
      </c>
      <c r="B319" s="4" t="n">
        <v>5</v>
      </c>
      <c r="C319" s="5" t="n">
        <v>541</v>
      </c>
      <c r="D319" s="5" t="n">
        <v>612</v>
      </c>
      <c r="E319" s="5" t="n">
        <v>572</v>
      </c>
      <c r="F319" s="5" t="n">
        <v>742</v>
      </c>
      <c r="G319" s="5" t="n">
        <v>536</v>
      </c>
      <c r="H319" s="13">
        <f>IF(AND(ISNUMBER(C319),C319&gt;0,ISNUMBER(G319)),G319/C319-1,"")</f>
        <v/>
      </c>
    </row>
    <row r="320">
      <c r="A320" s="12" t="inlineStr">
        <is>
          <t>580</t>
        </is>
      </c>
      <c r="B320" s="4" t="n">
        <v>5</v>
      </c>
      <c r="C320" s="5" t="n">
        <v>469</v>
      </c>
      <c r="D320" s="5" t="n">
        <v>515</v>
      </c>
      <c r="E320" s="5" t="n">
        <v>613</v>
      </c>
      <c r="F320" s="5" t="n">
        <v>588</v>
      </c>
      <c r="G320" s="5" t="n">
        <v>496</v>
      </c>
      <c r="H320" s="13">
        <f>IF(AND(ISNUMBER(C320),C320&gt;0,ISNUMBER(G320)),G320/C320-1,"")</f>
        <v/>
      </c>
    </row>
    <row r="321">
      <c r="A321" s="12" t="inlineStr">
        <is>
          <t>590</t>
        </is>
      </c>
      <c r="B321" s="4" t="n">
        <v>5</v>
      </c>
      <c r="C321" s="5" t="n">
        <v>894</v>
      </c>
      <c r="D321" s="5" t="n">
        <v>1004</v>
      </c>
      <c r="E321" s="5" t="n">
        <v>836</v>
      </c>
      <c r="F321" s="5" t="n">
        <v>884</v>
      </c>
      <c r="G321" s="5" t="n">
        <v>731</v>
      </c>
      <c r="H321" s="13">
        <f>IF(AND(ISNUMBER(C321),C321&gt;0,ISNUMBER(G321)),G321/C321-1,"")</f>
        <v/>
      </c>
    </row>
    <row r="322">
      <c r="A322" s="12" t="inlineStr">
        <is>
          <t>600</t>
        </is>
      </c>
      <c r="B322" s="4" t="n">
        <v>6</v>
      </c>
      <c r="C322" s="5" t="n">
        <v>532</v>
      </c>
      <c r="D322" s="5" t="n">
        <v>580</v>
      </c>
      <c r="E322" s="5" t="n">
        <v>530</v>
      </c>
      <c r="F322" s="5" t="n">
        <v>531</v>
      </c>
      <c r="G322" s="5" t="n">
        <v>272</v>
      </c>
      <c r="H322" s="13">
        <f>IF(AND(ISNUMBER(C322),C322&gt;0,ISNUMBER(G322)),G322/C322-1,"")</f>
        <v/>
      </c>
    </row>
    <row r="323">
      <c r="A323" s="12" t="inlineStr">
        <is>
          <t>620</t>
        </is>
      </c>
      <c r="B323" s="4" t="n">
        <v>6</v>
      </c>
      <c r="C323" s="5" t="n">
        <v>144</v>
      </c>
      <c r="D323" s="5" t="n">
        <v>192</v>
      </c>
      <c r="E323" s="5" t="n">
        <v>166</v>
      </c>
      <c r="F323" s="5" t="n">
        <v>214</v>
      </c>
      <c r="G323" s="5" t="n">
        <v>46</v>
      </c>
      <c r="H323" s="13">
        <f>IF(AND(ISNUMBER(C323),C323&gt;0,ISNUMBER(G323)),G323/C323-1,"")</f>
        <v/>
      </c>
    </row>
    <row r="324">
      <c r="A324" s="12" t="inlineStr">
        <is>
          <t>621</t>
        </is>
      </c>
      <c r="B324" s="4" t="n">
        <v>6</v>
      </c>
      <c r="C324" s="5" t="n">
        <v>67</v>
      </c>
      <c r="D324" s="5" t="n">
        <v>55</v>
      </c>
      <c r="E324" s="5" t="n">
        <v>78</v>
      </c>
      <c r="F324" s="5" t="n">
        <v>62</v>
      </c>
      <c r="G324" s="5" t="n">
        <v>38</v>
      </c>
      <c r="H324" s="13">
        <f>IF(AND(ISNUMBER(C324),C324&gt;0,ISNUMBER(G324)),G324/C324-1,"")</f>
        <v/>
      </c>
    </row>
    <row r="325">
      <c r="A325" s="12" t="inlineStr">
        <is>
          <t>622</t>
        </is>
      </c>
      <c r="B325" s="4" t="n">
        <v>6</v>
      </c>
      <c r="C325" s="5" t="n">
        <v>4</v>
      </c>
      <c r="D325" s="5" t="n">
        <v>8</v>
      </c>
      <c r="E325" s="5" t="n">
        <v>17</v>
      </c>
      <c r="F325" s="5" t="n">
        <v>15</v>
      </c>
      <c r="G325" s="5" t="n">
        <v>23</v>
      </c>
      <c r="H325" s="13">
        <f>IF(AND(ISNUMBER(C325),C325&gt;0,ISNUMBER(G325)),G325/C325-1,"")</f>
        <v/>
      </c>
    </row>
    <row r="326">
      <c r="A326" s="12" t="inlineStr">
        <is>
          <t>630</t>
        </is>
      </c>
      <c r="B326" s="4" t="n">
        <v>6</v>
      </c>
      <c r="C326" s="5" t="n">
        <v>310</v>
      </c>
      <c r="D326" s="5" t="n">
        <v>505</v>
      </c>
      <c r="E326" s="5" t="n">
        <v>352</v>
      </c>
      <c r="F326" s="5" t="n">
        <v>412</v>
      </c>
      <c r="G326" s="5" t="n">
        <v>202</v>
      </c>
      <c r="H326" s="13">
        <f>IF(AND(ISNUMBER(C326),C326&gt;0,ISNUMBER(G326)),G326/C326-1,"")</f>
        <v/>
      </c>
    </row>
    <row r="327">
      <c r="A327" s="12" t="inlineStr">
        <is>
          <t>632</t>
        </is>
      </c>
      <c r="B327" s="4" t="n">
        <v>6</v>
      </c>
      <c r="C327" s="5" t="n">
        <v>9</v>
      </c>
      <c r="D327" s="5" t="n"/>
      <c r="E327" s="5" t="n"/>
      <c r="F327" s="5" t="n"/>
      <c r="G327" s="5" t="n"/>
      <c r="H327" s="13">
        <f>IF(AND(ISNUMBER(C327),C327&gt;0,ISNUMBER(G327)),G327/C327-1,"")</f>
        <v/>
      </c>
    </row>
    <row r="328">
      <c r="A328" s="12" t="inlineStr">
        <is>
          <t>640</t>
        </is>
      </c>
      <c r="B328" s="4" t="n">
        <v>6</v>
      </c>
      <c r="C328" s="5" t="n">
        <v>784</v>
      </c>
      <c r="D328" s="5" t="n">
        <v>926</v>
      </c>
      <c r="E328" s="5" t="n">
        <v>850</v>
      </c>
      <c r="F328" s="5" t="n">
        <v>810</v>
      </c>
      <c r="G328" s="5" t="n">
        <v>470</v>
      </c>
      <c r="H328" s="13">
        <f>IF(AND(ISNUMBER(C328),C328&gt;0,ISNUMBER(G328)),G328/C328-1,"")</f>
        <v/>
      </c>
    </row>
    <row r="329">
      <c r="A329" s="12" t="inlineStr">
        <is>
          <t>650</t>
        </is>
      </c>
      <c r="B329" s="4" t="n">
        <v>6</v>
      </c>
      <c r="C329" s="5" t="n">
        <v>388</v>
      </c>
      <c r="D329" s="5" t="n">
        <v>415</v>
      </c>
      <c r="E329" s="5" t="n">
        <v>375</v>
      </c>
      <c r="F329" s="5" t="n">
        <v>293</v>
      </c>
      <c r="G329" s="5" t="n">
        <v>182</v>
      </c>
      <c r="H329" s="13">
        <f>IF(AND(ISNUMBER(C329),C329&gt;0,ISNUMBER(G329)),G329/C329-1,"")</f>
        <v/>
      </c>
    </row>
    <row r="330">
      <c r="A330" s="12" t="inlineStr">
        <is>
          <t>652</t>
        </is>
      </c>
      <c r="B330" s="4" t="n">
        <v>6</v>
      </c>
      <c r="C330" s="5" t="n">
        <v>4</v>
      </c>
      <c r="D330" s="5" t="n">
        <v>27</v>
      </c>
      <c r="E330" s="5" t="n">
        <v>19</v>
      </c>
      <c r="F330" s="5" t="n">
        <v>20</v>
      </c>
      <c r="G330" s="5" t="n">
        <v>8</v>
      </c>
      <c r="H330" s="13">
        <f>IF(AND(ISNUMBER(C330),C330&gt;0,ISNUMBER(G330)),G330/C330-1,"")</f>
        <v/>
      </c>
    </row>
    <row r="331">
      <c r="A331" s="12" t="inlineStr">
        <is>
          <t>670</t>
        </is>
      </c>
      <c r="B331" s="4" t="n">
        <v>6</v>
      </c>
      <c r="C331" s="5" t="n">
        <v>542</v>
      </c>
      <c r="D331" s="5" t="n">
        <v>571</v>
      </c>
      <c r="E331" s="5" t="n">
        <v>488</v>
      </c>
      <c r="F331" s="5" t="n">
        <v>472</v>
      </c>
      <c r="G331" s="5" t="n">
        <v>213</v>
      </c>
      <c r="H331" s="13">
        <f>IF(AND(ISNUMBER(C331),C331&gt;0,ISNUMBER(G331)),G331/C331-1,"")</f>
        <v/>
      </c>
    </row>
    <row r="332">
      <c r="A332" s="12" t="inlineStr">
        <is>
          <t>690</t>
        </is>
      </c>
      <c r="B332" s="4" t="n">
        <v>6</v>
      </c>
      <c r="C332" s="5" t="n">
        <v>528</v>
      </c>
      <c r="D332" s="5" t="n">
        <v>660</v>
      </c>
      <c r="E332" s="5" t="n">
        <v>530</v>
      </c>
      <c r="F332" s="5" t="n">
        <v>446</v>
      </c>
      <c r="G332" s="5" t="n">
        <v>350</v>
      </c>
      <c r="H332" s="13">
        <f>IF(AND(ISNUMBER(C332),C332&gt;0,ISNUMBER(G332)),G332/C332-1,"")</f>
        <v/>
      </c>
    </row>
    <row r="333">
      <c r="A333" s="12" t="inlineStr">
        <is>
          <t>700</t>
        </is>
      </c>
      <c r="B333" s="4" t="n">
        <v>7</v>
      </c>
      <c r="C333" s="5" t="n">
        <v>774</v>
      </c>
      <c r="D333" s="5" t="n">
        <v>639</v>
      </c>
      <c r="E333" s="5" t="n">
        <v>716</v>
      </c>
      <c r="F333" s="5" t="n">
        <v>598</v>
      </c>
      <c r="G333" s="5" t="n">
        <v>480</v>
      </c>
      <c r="H333" s="13">
        <f>IF(AND(ISNUMBER(C333),C333&gt;0,ISNUMBER(G333)),G333/C333-1,"")</f>
        <v/>
      </c>
    </row>
    <row r="334">
      <c r="A334" s="12" t="inlineStr">
        <is>
          <t>701</t>
        </is>
      </c>
      <c r="B334" s="4" t="n">
        <v>7</v>
      </c>
      <c r="C334" s="5" t="n">
        <v>1042</v>
      </c>
      <c r="D334" s="5" t="n">
        <v>1026</v>
      </c>
      <c r="E334" s="5" t="n">
        <v>1203</v>
      </c>
      <c r="F334" s="5" t="n">
        <v>940</v>
      </c>
      <c r="G334" s="5" t="n">
        <v>790</v>
      </c>
      <c r="H334" s="13">
        <f>IF(AND(ISNUMBER(C334),C334&gt;0,ISNUMBER(G334)),G334/C334-1,"")</f>
        <v/>
      </c>
    </row>
    <row r="335">
      <c r="A335" s="12" t="inlineStr">
        <is>
          <t>702</t>
        </is>
      </c>
      <c r="B335" s="4" t="n">
        <v>7</v>
      </c>
      <c r="C335" s="5" t="n">
        <v>373</v>
      </c>
      <c r="D335" s="5" t="n">
        <v>422</v>
      </c>
      <c r="E335" s="5" t="n">
        <v>403</v>
      </c>
      <c r="F335" s="5" t="n">
        <v>382</v>
      </c>
      <c r="G335" s="5" t="n">
        <v>269</v>
      </c>
      <c r="H335" s="13">
        <f>IF(AND(ISNUMBER(C335),C335&gt;0,ISNUMBER(G335)),G335/C335-1,"")</f>
        <v/>
      </c>
    </row>
    <row r="336">
      <c r="A336" s="12" t="inlineStr">
        <is>
          <t>703</t>
        </is>
      </c>
      <c r="B336" s="4" t="n">
        <v>7</v>
      </c>
      <c r="C336" s="5" t="n">
        <v>934</v>
      </c>
      <c r="D336" s="5" t="n">
        <v>1109</v>
      </c>
      <c r="E336" s="5" t="n">
        <v>848</v>
      </c>
      <c r="F336" s="5" t="n">
        <v>815</v>
      </c>
      <c r="G336" s="5" t="n">
        <v>448</v>
      </c>
      <c r="H336" s="13">
        <f>IF(AND(ISNUMBER(C336),C336&gt;0,ISNUMBER(G336)),G336/C336-1,"")</f>
        <v/>
      </c>
    </row>
    <row r="337">
      <c r="A337" s="12" t="inlineStr">
        <is>
          <t>704</t>
        </is>
      </c>
      <c r="B337" s="4" t="n">
        <v>7</v>
      </c>
      <c r="C337" s="5" t="n">
        <v>893</v>
      </c>
      <c r="D337" s="5" t="n">
        <v>647</v>
      </c>
      <c r="E337" s="5" t="n">
        <v>756</v>
      </c>
      <c r="F337" s="5" t="n">
        <v>716</v>
      </c>
      <c r="G337" s="5" t="n">
        <v>652</v>
      </c>
      <c r="H337" s="13">
        <f>IF(AND(ISNUMBER(C337),C337&gt;0,ISNUMBER(G337)),G337/C337-1,"")</f>
        <v/>
      </c>
    </row>
    <row r="338">
      <c r="A338" s="12" t="inlineStr">
        <is>
          <t>705</t>
        </is>
      </c>
      <c r="B338" s="4" t="n">
        <v>7</v>
      </c>
      <c r="C338" s="5" t="n">
        <v>1230</v>
      </c>
      <c r="D338" s="5" t="n">
        <v>824</v>
      </c>
      <c r="E338" s="5" t="n">
        <v>814</v>
      </c>
      <c r="F338" s="5" t="n">
        <v>899</v>
      </c>
      <c r="G338" s="5" t="n">
        <v>798</v>
      </c>
      <c r="H338" s="13">
        <f>IF(AND(ISNUMBER(C338),C338&gt;0,ISNUMBER(G338)),G338/C338-1,"")</f>
        <v/>
      </c>
    </row>
  </sheetData>
  <conditionalFormatting sqref="C6:G170">
    <cfRule type="colorScale" priority="1">
      <colorScale>
        <cfvo type="min"/>
        <cfvo type="percentile" val="95"/>
        <color rgb="00FFFDF8"/>
        <color rgb="005E9C6A"/>
      </colorScale>
    </cfRule>
  </conditionalFormatting>
  <conditionalFormatting sqref="H6:H170">
    <cfRule type="colorScale" priority="2">
      <colorScale>
        <cfvo type="num" val="-0.6"/>
        <cfvo type="num" val="0"/>
        <cfvo type="num" val="0.6"/>
        <color rgb="00E8A397"/>
        <color rgb="00FFFFFF"/>
        <color rgb="009CCB9F"/>
      </colorScale>
    </cfRule>
  </conditionalFormatting>
  <conditionalFormatting sqref="C175:G338">
    <cfRule type="colorScale" priority="3">
      <colorScale>
        <cfvo type="min"/>
        <cfvo type="percentile" val="95"/>
        <color rgb="00FFFDF8"/>
        <color rgb="005E9C6A"/>
      </colorScale>
    </cfRule>
  </conditionalFormatting>
  <conditionalFormatting sqref="H175:H338">
    <cfRule type="colorScale" priority="4">
      <colorScale>
        <cfvo type="num" val="-0.6"/>
        <cfvo type="num" val="0"/>
        <cfvo type="num" val="0.6"/>
        <color rgb="00E8A397"/>
        <color rgb="00FFFFFF"/>
        <color rgb="009CCB9F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8" customWidth="1" min="4" max="4"/>
    <col width="10" customWidth="1" min="5" max="5"/>
    <col width="12" customWidth="1" min="6" max="6"/>
    <col width="10" customWidth="1" min="7" max="7"/>
    <col width="11" customWidth="1" min="8" max="8"/>
    <col width="10" customWidth="1" min="9" max="9"/>
  </cols>
  <sheetData>
    <row r="1">
      <c r="A1" s="3" t="inlineStr">
        <is>
          <t>District</t>
        </is>
      </c>
      <c r="B1" s="3" t="inlineStr">
        <is>
          <t>Region</t>
        </is>
      </c>
      <c r="C1" s="3" t="inlineStr">
        <is>
          <t>Species</t>
        </is>
      </c>
      <c r="D1" s="3" t="inlineStr">
        <is>
          <t>Year</t>
        </is>
      </c>
      <c r="E1" s="3" t="inlineStr">
        <is>
          <t>Hunters</t>
        </is>
      </c>
      <c r="F1" s="3" t="inlineStr">
        <is>
          <t>Hunter days</t>
        </is>
      </c>
      <c r="G1" s="3" t="inlineStr">
        <is>
          <t>Harvest</t>
        </is>
      </c>
      <c r="H1" s="3" t="inlineStr">
        <is>
          <t>Per hunter</t>
        </is>
      </c>
      <c r="I1" s="3" t="inlineStr">
        <is>
          <t>Days per animal</t>
        </is>
      </c>
    </row>
    <row r="2">
      <c r="A2" s="4" t="inlineStr">
        <is>
          <t>100</t>
        </is>
      </c>
      <c r="B2" s="4" t="n">
        <v>1</v>
      </c>
      <c r="C2" s="4" t="inlineStr">
        <is>
          <t>mule deer</t>
        </is>
      </c>
      <c r="D2" s="4" t="n">
        <v>2021</v>
      </c>
      <c r="E2" s="5" t="n">
        <v>2402</v>
      </c>
      <c r="F2" s="5" t="n">
        <v>17422</v>
      </c>
      <c r="G2" s="5" t="n">
        <v>165</v>
      </c>
      <c r="H2" s="10">
        <f>IF(E2&gt;0,G2/E2,"")</f>
        <v/>
      </c>
      <c r="I2" s="11">
        <f>IF(AND(F2&gt;0,G2&gt;0),F2/G2,"")</f>
        <v/>
      </c>
    </row>
    <row r="3">
      <c r="A3" s="4" t="inlineStr">
        <is>
          <t>100</t>
        </is>
      </c>
      <c r="B3" s="4" t="n">
        <v>1</v>
      </c>
      <c r="C3" s="4" t="inlineStr">
        <is>
          <t>mule deer</t>
        </is>
      </c>
      <c r="D3" s="4" t="n">
        <v>2022</v>
      </c>
      <c r="E3" s="5" t="n"/>
      <c r="F3" s="5" t="n"/>
      <c r="G3" s="5" t="n">
        <v>176</v>
      </c>
      <c r="H3" s="10">
        <f>IF(E3&gt;0,G3/E3,"")</f>
        <v/>
      </c>
      <c r="I3" s="11">
        <f>IF(AND(F3&gt;0,G3&gt;0),F3/G3,"")</f>
        <v/>
      </c>
    </row>
    <row r="4">
      <c r="A4" s="4" t="inlineStr">
        <is>
          <t>100</t>
        </is>
      </c>
      <c r="B4" s="4" t="n">
        <v>1</v>
      </c>
      <c r="C4" s="4" t="inlineStr">
        <is>
          <t>mule deer</t>
        </is>
      </c>
      <c r="D4" s="4" t="n">
        <v>2023</v>
      </c>
      <c r="E4" s="5" t="n">
        <v>2846</v>
      </c>
      <c r="F4" s="5" t="n">
        <v>23556</v>
      </c>
      <c r="G4" s="5" t="n">
        <v>169</v>
      </c>
      <c r="H4" s="10">
        <f>IF(E4&gt;0,G4/E4,"")</f>
        <v/>
      </c>
      <c r="I4" s="11">
        <f>IF(AND(F4&gt;0,G4&gt;0),F4/G4,"")</f>
        <v/>
      </c>
    </row>
    <row r="5">
      <c r="A5" s="4" t="inlineStr">
        <is>
          <t>100</t>
        </is>
      </c>
      <c r="B5" s="4" t="n">
        <v>1</v>
      </c>
      <c r="C5" s="4" t="inlineStr">
        <is>
          <t>mule deer</t>
        </is>
      </c>
      <c r="D5" s="4" t="n">
        <v>2024</v>
      </c>
      <c r="E5" s="5" t="n"/>
      <c r="F5" s="5" t="n"/>
      <c r="G5" s="5" t="n">
        <v>113</v>
      </c>
      <c r="H5" s="10">
        <f>IF(E5&gt;0,G5/E5,"")</f>
        <v/>
      </c>
      <c r="I5" s="11">
        <f>IF(AND(F5&gt;0,G5&gt;0),F5/G5,"")</f>
        <v/>
      </c>
    </row>
    <row r="6">
      <c r="A6" s="4" t="inlineStr">
        <is>
          <t>100</t>
        </is>
      </c>
      <c r="B6" s="4" t="n">
        <v>1</v>
      </c>
      <c r="C6" s="4" t="inlineStr">
        <is>
          <t>mule deer</t>
        </is>
      </c>
      <c r="D6" s="4" t="n">
        <v>2025</v>
      </c>
      <c r="E6" s="5" t="n">
        <v>2765</v>
      </c>
      <c r="F6" s="5" t="n">
        <v>22537</v>
      </c>
      <c r="G6" s="5" t="n">
        <v>119</v>
      </c>
      <c r="H6" s="10">
        <f>IF(E6&gt;0,G6/E6,"")</f>
        <v/>
      </c>
      <c r="I6" s="11">
        <f>IF(AND(F6&gt;0,G6&gt;0),F6/G6,"")</f>
        <v/>
      </c>
    </row>
    <row r="7">
      <c r="A7" s="4" t="inlineStr">
        <is>
          <t>101</t>
        </is>
      </c>
      <c r="B7" s="4" t="n">
        <v>1</v>
      </c>
      <c r="C7" s="4" t="inlineStr">
        <is>
          <t>mule deer</t>
        </is>
      </c>
      <c r="D7" s="4" t="n">
        <v>2021</v>
      </c>
      <c r="E7" s="5" t="n">
        <v>2328</v>
      </c>
      <c r="F7" s="5" t="n">
        <v>15644</v>
      </c>
      <c r="G7" s="5" t="n">
        <v>74</v>
      </c>
      <c r="H7" s="10">
        <f>IF(E7&gt;0,G7/E7,"")</f>
        <v/>
      </c>
      <c r="I7" s="11">
        <f>IF(AND(F7&gt;0,G7&gt;0),F7/G7,"")</f>
        <v/>
      </c>
    </row>
    <row r="8">
      <c r="A8" s="4" t="inlineStr">
        <is>
          <t>101</t>
        </is>
      </c>
      <c r="B8" s="4" t="n">
        <v>1</v>
      </c>
      <c r="C8" s="4" t="inlineStr">
        <is>
          <t>mule deer</t>
        </is>
      </c>
      <c r="D8" s="4" t="n">
        <v>2022</v>
      </c>
      <c r="E8" s="5" t="n"/>
      <c r="F8" s="5" t="n"/>
      <c r="G8" s="5" t="n">
        <v>110</v>
      </c>
      <c r="H8" s="10">
        <f>IF(E8&gt;0,G8/E8,"")</f>
        <v/>
      </c>
      <c r="I8" s="11">
        <f>IF(AND(F8&gt;0,G8&gt;0),F8/G8,"")</f>
        <v/>
      </c>
    </row>
    <row r="9">
      <c r="A9" s="4" t="inlineStr">
        <is>
          <t>101</t>
        </is>
      </c>
      <c r="B9" s="4" t="n">
        <v>1</v>
      </c>
      <c r="C9" s="4" t="inlineStr">
        <is>
          <t>mule deer</t>
        </is>
      </c>
      <c r="D9" s="4" t="n">
        <v>2023</v>
      </c>
      <c r="E9" s="5" t="n">
        <v>2955</v>
      </c>
      <c r="F9" s="5" t="n">
        <v>21834</v>
      </c>
      <c r="G9" s="5" t="n">
        <v>106</v>
      </c>
      <c r="H9" s="10">
        <f>IF(E9&gt;0,G9/E9,"")</f>
        <v/>
      </c>
      <c r="I9" s="11">
        <f>IF(AND(F9&gt;0,G9&gt;0),F9/G9,"")</f>
        <v/>
      </c>
    </row>
    <row r="10">
      <c r="A10" s="4" t="inlineStr">
        <is>
          <t>101</t>
        </is>
      </c>
      <c r="B10" s="4" t="n">
        <v>1</v>
      </c>
      <c r="C10" s="4" t="inlineStr">
        <is>
          <t>mule deer</t>
        </is>
      </c>
      <c r="D10" s="4" t="n">
        <v>2024</v>
      </c>
      <c r="E10" s="5" t="n"/>
      <c r="F10" s="5" t="n"/>
      <c r="G10" s="5" t="n">
        <v>125</v>
      </c>
      <c r="H10" s="10">
        <f>IF(E10&gt;0,G10/E10,"")</f>
        <v/>
      </c>
      <c r="I10" s="11">
        <f>IF(AND(F10&gt;0,G10&gt;0),F10/G10,"")</f>
        <v/>
      </c>
    </row>
    <row r="11">
      <c r="A11" s="4" t="inlineStr">
        <is>
          <t>101</t>
        </is>
      </c>
      <c r="B11" s="4" t="n">
        <v>1</v>
      </c>
      <c r="C11" s="4" t="inlineStr">
        <is>
          <t>mule deer</t>
        </is>
      </c>
      <c r="D11" s="4" t="n">
        <v>2025</v>
      </c>
      <c r="E11" s="5" t="n">
        <v>2913</v>
      </c>
      <c r="F11" s="5" t="n">
        <v>22019</v>
      </c>
      <c r="G11" s="5" t="n">
        <v>92</v>
      </c>
      <c r="H11" s="10">
        <f>IF(E11&gt;0,G11/E11,"")</f>
        <v/>
      </c>
      <c r="I11" s="11">
        <f>IF(AND(F11&gt;0,G11&gt;0),F11/G11,"")</f>
        <v/>
      </c>
    </row>
    <row r="12">
      <c r="A12" s="4" t="inlineStr">
        <is>
          <t>102</t>
        </is>
      </c>
      <c r="B12" s="4" t="n">
        <v>1</v>
      </c>
      <c r="C12" s="4" t="inlineStr">
        <is>
          <t>mule deer</t>
        </is>
      </c>
      <c r="D12" s="4" t="n">
        <v>2021</v>
      </c>
      <c r="E12" s="5" t="n">
        <v>2620</v>
      </c>
      <c r="F12" s="5" t="n">
        <v>15805</v>
      </c>
      <c r="G12" s="5" t="n">
        <v>54</v>
      </c>
      <c r="H12" s="10">
        <f>IF(E12&gt;0,G12/E12,"")</f>
        <v/>
      </c>
      <c r="I12" s="11">
        <f>IF(AND(F12&gt;0,G12&gt;0),F12/G12,"")</f>
        <v/>
      </c>
    </row>
    <row r="13">
      <c r="A13" s="4" t="inlineStr">
        <is>
          <t>103</t>
        </is>
      </c>
      <c r="B13" s="4" t="n">
        <v>1</v>
      </c>
      <c r="C13" s="4" t="inlineStr">
        <is>
          <t>mule deer</t>
        </is>
      </c>
      <c r="D13" s="4" t="n">
        <v>2021</v>
      </c>
      <c r="E13" s="5" t="n">
        <v>2546</v>
      </c>
      <c r="F13" s="5" t="n">
        <v>18236</v>
      </c>
      <c r="G13" s="5" t="n">
        <v>138</v>
      </c>
      <c r="H13" s="10">
        <f>IF(E13&gt;0,G13/E13,"")</f>
        <v/>
      </c>
      <c r="I13" s="11">
        <f>IF(AND(F13&gt;0,G13&gt;0),F13/G13,"")</f>
        <v/>
      </c>
    </row>
    <row r="14">
      <c r="A14" s="4" t="inlineStr">
        <is>
          <t>103</t>
        </is>
      </c>
      <c r="B14" s="4" t="n">
        <v>1</v>
      </c>
      <c r="C14" s="4" t="inlineStr">
        <is>
          <t>mule deer</t>
        </is>
      </c>
      <c r="D14" s="4" t="n">
        <v>2022</v>
      </c>
      <c r="E14" s="5" t="n"/>
      <c r="F14" s="5" t="n"/>
      <c r="G14" s="5" t="n">
        <v>158</v>
      </c>
      <c r="H14" s="10">
        <f>IF(E14&gt;0,G14/E14,"")</f>
        <v/>
      </c>
      <c r="I14" s="11">
        <f>IF(AND(F14&gt;0,G14&gt;0),F14/G14,"")</f>
        <v/>
      </c>
    </row>
    <row r="15">
      <c r="A15" s="4" t="inlineStr">
        <is>
          <t>103</t>
        </is>
      </c>
      <c r="B15" s="4" t="n">
        <v>1</v>
      </c>
      <c r="C15" s="4" t="inlineStr">
        <is>
          <t>mule deer</t>
        </is>
      </c>
      <c r="D15" s="4" t="n">
        <v>2023</v>
      </c>
      <c r="E15" s="5" t="n">
        <v>5391</v>
      </c>
      <c r="F15" s="5" t="n">
        <v>39826</v>
      </c>
      <c r="G15" s="5" t="n">
        <v>207</v>
      </c>
      <c r="H15" s="10">
        <f>IF(E15&gt;0,G15/E15,"")</f>
        <v/>
      </c>
      <c r="I15" s="11">
        <f>IF(AND(F15&gt;0,G15&gt;0),F15/G15,"")</f>
        <v/>
      </c>
    </row>
    <row r="16">
      <c r="A16" s="4" t="inlineStr">
        <is>
          <t>103</t>
        </is>
      </c>
      <c r="B16" s="4" t="n">
        <v>1</v>
      </c>
      <c r="C16" s="4" t="inlineStr">
        <is>
          <t>mule deer</t>
        </is>
      </c>
      <c r="D16" s="4" t="n">
        <v>2024</v>
      </c>
      <c r="E16" s="5" t="n"/>
      <c r="F16" s="5" t="n"/>
      <c r="G16" s="5" t="n">
        <v>233</v>
      </c>
      <c r="H16" s="10">
        <f>IF(E16&gt;0,G16/E16,"")</f>
        <v/>
      </c>
      <c r="I16" s="11">
        <f>IF(AND(F16&gt;0,G16&gt;0),F16/G16,"")</f>
        <v/>
      </c>
    </row>
    <row r="17">
      <c r="A17" s="4" t="inlineStr">
        <is>
          <t>103</t>
        </is>
      </c>
      <c r="B17" s="4" t="n">
        <v>1</v>
      </c>
      <c r="C17" s="4" t="inlineStr">
        <is>
          <t>mule deer</t>
        </is>
      </c>
      <c r="D17" s="4" t="n">
        <v>2025</v>
      </c>
      <c r="E17" s="5" t="n">
        <v>5147</v>
      </c>
      <c r="F17" s="5" t="n">
        <v>35014</v>
      </c>
      <c r="G17" s="5" t="n">
        <v>212</v>
      </c>
      <c r="H17" s="10">
        <f>IF(E17&gt;0,G17/E17,"")</f>
        <v/>
      </c>
      <c r="I17" s="11">
        <f>IF(AND(F17&gt;0,G17&gt;0),F17/G17,"")</f>
        <v/>
      </c>
    </row>
    <row r="18">
      <c r="A18" s="4" t="inlineStr">
        <is>
          <t>104</t>
        </is>
      </c>
      <c r="B18" s="4" t="n">
        <v>1</v>
      </c>
      <c r="C18" s="4" t="inlineStr">
        <is>
          <t>mule deer</t>
        </is>
      </c>
      <c r="D18" s="4" t="n">
        <v>2021</v>
      </c>
      <c r="E18" s="5" t="n">
        <v>1283</v>
      </c>
      <c r="F18" s="5" t="n">
        <v>10730</v>
      </c>
      <c r="G18" s="5" t="n">
        <v>57</v>
      </c>
      <c r="H18" s="10">
        <f>IF(E18&gt;0,G18/E18,"")</f>
        <v/>
      </c>
      <c r="I18" s="11">
        <f>IF(AND(F18&gt;0,G18&gt;0),F18/G18,"")</f>
        <v/>
      </c>
    </row>
    <row r="19">
      <c r="A19" s="4" t="inlineStr">
        <is>
          <t>104</t>
        </is>
      </c>
      <c r="B19" s="4" t="n">
        <v>1</v>
      </c>
      <c r="C19" s="4" t="inlineStr">
        <is>
          <t>mule deer</t>
        </is>
      </c>
      <c r="D19" s="4" t="n">
        <v>2022</v>
      </c>
      <c r="E19" s="5" t="n"/>
      <c r="F19" s="5" t="n"/>
      <c r="G19" s="5" t="n">
        <v>39</v>
      </c>
      <c r="H19" s="10">
        <f>IF(E19&gt;0,G19/E19,"")</f>
        <v/>
      </c>
      <c r="I19" s="11">
        <f>IF(AND(F19&gt;0,G19&gt;0),F19/G19,"")</f>
        <v/>
      </c>
    </row>
    <row r="20">
      <c r="A20" s="4" t="inlineStr">
        <is>
          <t>104</t>
        </is>
      </c>
      <c r="B20" s="4" t="n">
        <v>1</v>
      </c>
      <c r="C20" s="4" t="inlineStr">
        <is>
          <t>mule deer</t>
        </is>
      </c>
      <c r="D20" s="4" t="n">
        <v>2023</v>
      </c>
      <c r="E20" s="5" t="n">
        <v>1264</v>
      </c>
      <c r="F20" s="5" t="n">
        <v>9592</v>
      </c>
      <c r="G20" s="5" t="n">
        <v>59</v>
      </c>
      <c r="H20" s="10">
        <f>IF(E20&gt;0,G20/E20,"")</f>
        <v/>
      </c>
      <c r="I20" s="11">
        <f>IF(AND(F20&gt;0,G20&gt;0),F20/G20,"")</f>
        <v/>
      </c>
    </row>
    <row r="21">
      <c r="A21" s="4" t="inlineStr">
        <is>
          <t>104</t>
        </is>
      </c>
      <c r="B21" s="4" t="n">
        <v>1</v>
      </c>
      <c r="C21" s="4" t="inlineStr">
        <is>
          <t>mule deer</t>
        </is>
      </c>
      <c r="D21" s="4" t="n">
        <v>2024</v>
      </c>
      <c r="E21" s="5" t="n"/>
      <c r="F21" s="5" t="n"/>
      <c r="G21" s="5" t="n">
        <v>66</v>
      </c>
      <c r="H21" s="10">
        <f>IF(E21&gt;0,G21/E21,"")</f>
        <v/>
      </c>
      <c r="I21" s="11">
        <f>IF(AND(F21&gt;0,G21&gt;0),F21/G21,"")</f>
        <v/>
      </c>
    </row>
    <row r="22">
      <c r="A22" s="4" t="inlineStr">
        <is>
          <t>104</t>
        </is>
      </c>
      <c r="B22" s="4" t="n">
        <v>1</v>
      </c>
      <c r="C22" s="4" t="inlineStr">
        <is>
          <t>mule deer</t>
        </is>
      </c>
      <c r="D22" s="4" t="n">
        <v>2025</v>
      </c>
      <c r="E22" s="5" t="n">
        <v>1575</v>
      </c>
      <c r="F22" s="5" t="n">
        <v>12880</v>
      </c>
      <c r="G22" s="5" t="n">
        <v>64</v>
      </c>
      <c r="H22" s="10">
        <f>IF(E22&gt;0,G22/E22,"")</f>
        <v/>
      </c>
      <c r="I22" s="11">
        <f>IF(AND(F22&gt;0,G22&gt;0),F22/G22,"")</f>
        <v/>
      </c>
    </row>
    <row r="23">
      <c r="A23" s="4" t="inlineStr">
        <is>
          <t>109</t>
        </is>
      </c>
      <c r="B23" s="4" t="n">
        <v>1</v>
      </c>
      <c r="C23" s="4" t="inlineStr">
        <is>
          <t>mule deer</t>
        </is>
      </c>
      <c r="D23" s="4" t="n">
        <v>2021</v>
      </c>
      <c r="E23" s="5" t="n">
        <v>532</v>
      </c>
      <c r="F23" s="5" t="n">
        <v>3607</v>
      </c>
      <c r="G23" s="5" t="n">
        <v>39</v>
      </c>
      <c r="H23" s="10">
        <f>IF(E23&gt;0,G23/E23,"")</f>
        <v/>
      </c>
      <c r="I23" s="11">
        <f>IF(AND(F23&gt;0,G23&gt;0),F23/G23,"")</f>
        <v/>
      </c>
    </row>
    <row r="24">
      <c r="A24" s="4" t="inlineStr">
        <is>
          <t>110</t>
        </is>
      </c>
      <c r="B24" s="4" t="n">
        <v>1</v>
      </c>
      <c r="C24" s="4" t="inlineStr">
        <is>
          <t>mule deer</t>
        </is>
      </c>
      <c r="D24" s="4" t="n">
        <v>2021</v>
      </c>
      <c r="E24" s="5" t="n">
        <v>1118</v>
      </c>
      <c r="F24" s="5" t="n">
        <v>6739</v>
      </c>
      <c r="G24" s="5" t="n">
        <v>8</v>
      </c>
      <c r="H24" s="10">
        <f>IF(E24&gt;0,G24/E24,"")</f>
        <v/>
      </c>
      <c r="I24" s="11">
        <f>IF(AND(F24&gt;0,G24&gt;0),F24/G24,"")</f>
        <v/>
      </c>
    </row>
    <row r="25">
      <c r="A25" s="4" t="inlineStr">
        <is>
          <t>110</t>
        </is>
      </c>
      <c r="B25" s="4" t="n">
        <v>1</v>
      </c>
      <c r="C25" s="4" t="inlineStr">
        <is>
          <t>mule deer</t>
        </is>
      </c>
      <c r="D25" s="4" t="n">
        <v>2022</v>
      </c>
      <c r="E25" s="5" t="n"/>
      <c r="F25" s="5" t="n"/>
      <c r="G25" s="5" t="n">
        <v>20</v>
      </c>
      <c r="H25" s="10">
        <f>IF(E25&gt;0,G25/E25,"")</f>
        <v/>
      </c>
      <c r="I25" s="11">
        <f>IF(AND(F25&gt;0,G25&gt;0),F25/G25,"")</f>
        <v/>
      </c>
    </row>
    <row r="26">
      <c r="A26" s="4" t="inlineStr">
        <is>
          <t>110</t>
        </is>
      </c>
      <c r="B26" s="4" t="n">
        <v>1</v>
      </c>
      <c r="C26" s="4" t="inlineStr">
        <is>
          <t>mule deer</t>
        </is>
      </c>
      <c r="D26" s="4" t="n">
        <v>2023</v>
      </c>
      <c r="E26" s="5" t="n">
        <v>1360</v>
      </c>
      <c r="F26" s="5" t="n">
        <v>7975</v>
      </c>
      <c r="G26" s="5" t="n">
        <v>40</v>
      </c>
      <c r="H26" s="10">
        <f>IF(E26&gt;0,G26/E26,"")</f>
        <v/>
      </c>
      <c r="I26" s="11">
        <f>IF(AND(F26&gt;0,G26&gt;0),F26/G26,"")</f>
        <v/>
      </c>
    </row>
    <row r="27">
      <c r="A27" s="4" t="inlineStr">
        <is>
          <t>110</t>
        </is>
      </c>
      <c r="B27" s="4" t="n">
        <v>1</v>
      </c>
      <c r="C27" s="4" t="inlineStr">
        <is>
          <t>mule deer</t>
        </is>
      </c>
      <c r="D27" s="4" t="n">
        <v>2024</v>
      </c>
      <c r="E27" s="5" t="n"/>
      <c r="F27" s="5" t="n"/>
      <c r="G27" s="5" t="n">
        <v>25</v>
      </c>
      <c r="H27" s="10">
        <f>IF(E27&gt;0,G27/E27,"")</f>
        <v/>
      </c>
      <c r="I27" s="11">
        <f>IF(AND(F27&gt;0,G27&gt;0),F27/G27,"")</f>
        <v/>
      </c>
    </row>
    <row r="28">
      <c r="A28" s="4" t="inlineStr">
        <is>
          <t>110</t>
        </is>
      </c>
      <c r="B28" s="4" t="n">
        <v>1</v>
      </c>
      <c r="C28" s="4" t="inlineStr">
        <is>
          <t>mule deer</t>
        </is>
      </c>
      <c r="D28" s="4" t="n">
        <v>2025</v>
      </c>
      <c r="E28" s="5" t="n">
        <v>1344</v>
      </c>
      <c r="F28" s="5" t="n">
        <v>8403</v>
      </c>
      <c r="G28" s="5" t="n">
        <v>38</v>
      </c>
      <c r="H28" s="10">
        <f>IF(E28&gt;0,G28/E28,"")</f>
        <v/>
      </c>
      <c r="I28" s="11">
        <f>IF(AND(F28&gt;0,G28&gt;0),F28/G28,"")</f>
        <v/>
      </c>
    </row>
    <row r="29">
      <c r="A29" s="4" t="inlineStr">
        <is>
          <t>120</t>
        </is>
      </c>
      <c r="B29" s="4" t="n">
        <v>1</v>
      </c>
      <c r="C29" s="4" t="inlineStr">
        <is>
          <t>mule deer</t>
        </is>
      </c>
      <c r="D29" s="4" t="n">
        <v>2021</v>
      </c>
      <c r="E29" s="5" t="n">
        <v>1956</v>
      </c>
      <c r="F29" s="5" t="n">
        <v>12140</v>
      </c>
      <c r="G29" s="5" t="n">
        <v>36</v>
      </c>
      <c r="H29" s="10">
        <f>IF(E29&gt;0,G29/E29,"")</f>
        <v/>
      </c>
      <c r="I29" s="11">
        <f>IF(AND(F29&gt;0,G29&gt;0),F29/G29,"")</f>
        <v/>
      </c>
    </row>
    <row r="30">
      <c r="A30" s="4" t="inlineStr">
        <is>
          <t>120</t>
        </is>
      </c>
      <c r="B30" s="4" t="n">
        <v>1</v>
      </c>
      <c r="C30" s="4" t="inlineStr">
        <is>
          <t>mule deer</t>
        </is>
      </c>
      <c r="D30" s="4" t="n">
        <v>2022</v>
      </c>
      <c r="E30" s="5" t="n"/>
      <c r="F30" s="5" t="n"/>
      <c r="G30" s="5" t="n">
        <v>49</v>
      </c>
      <c r="H30" s="10">
        <f>IF(E30&gt;0,G30/E30,"")</f>
        <v/>
      </c>
      <c r="I30" s="11">
        <f>IF(AND(F30&gt;0,G30&gt;0),F30/G30,"")</f>
        <v/>
      </c>
    </row>
    <row r="31">
      <c r="A31" s="4" t="inlineStr">
        <is>
          <t>120</t>
        </is>
      </c>
      <c r="B31" s="4" t="n">
        <v>1</v>
      </c>
      <c r="C31" s="4" t="inlineStr">
        <is>
          <t>mule deer</t>
        </is>
      </c>
      <c r="D31" s="4" t="n">
        <v>2023</v>
      </c>
      <c r="E31" s="5" t="n">
        <v>2206</v>
      </c>
      <c r="F31" s="5" t="n">
        <v>14981</v>
      </c>
      <c r="G31" s="5" t="n">
        <v>47</v>
      </c>
      <c r="H31" s="10">
        <f>IF(E31&gt;0,G31/E31,"")</f>
        <v/>
      </c>
      <c r="I31" s="11">
        <f>IF(AND(F31&gt;0,G31&gt;0),F31/G31,"")</f>
        <v/>
      </c>
    </row>
    <row r="32">
      <c r="A32" s="4" t="inlineStr">
        <is>
          <t>120</t>
        </is>
      </c>
      <c r="B32" s="4" t="n">
        <v>1</v>
      </c>
      <c r="C32" s="4" t="inlineStr">
        <is>
          <t>mule deer</t>
        </is>
      </c>
      <c r="D32" s="4" t="n">
        <v>2024</v>
      </c>
      <c r="E32" s="5" t="n"/>
      <c r="F32" s="5" t="n"/>
      <c r="G32" s="5" t="n">
        <v>34</v>
      </c>
      <c r="H32" s="10">
        <f>IF(E32&gt;0,G32/E32,"")</f>
        <v/>
      </c>
      <c r="I32" s="11">
        <f>IF(AND(F32&gt;0,G32&gt;0),F32/G32,"")</f>
        <v/>
      </c>
    </row>
    <row r="33">
      <c r="A33" s="4" t="inlineStr">
        <is>
          <t>120</t>
        </is>
      </c>
      <c r="B33" s="4" t="n">
        <v>1</v>
      </c>
      <c r="C33" s="4" t="inlineStr">
        <is>
          <t>mule deer</t>
        </is>
      </c>
      <c r="D33" s="4" t="n">
        <v>2025</v>
      </c>
      <c r="E33" s="5" t="n">
        <v>2179</v>
      </c>
      <c r="F33" s="5" t="n">
        <v>14543</v>
      </c>
      <c r="G33" s="5" t="n">
        <v>52</v>
      </c>
      <c r="H33" s="10">
        <f>IF(E33&gt;0,G33/E33,"")</f>
        <v/>
      </c>
      <c r="I33" s="11">
        <f>IF(AND(F33&gt;0,G33&gt;0),F33/G33,"")</f>
        <v/>
      </c>
    </row>
    <row r="34">
      <c r="A34" s="4" t="inlineStr">
        <is>
          <t>121</t>
        </is>
      </c>
      <c r="B34" s="4" t="n">
        <v>1</v>
      </c>
      <c r="C34" s="4" t="inlineStr">
        <is>
          <t>mule deer</t>
        </is>
      </c>
      <c r="D34" s="4" t="n">
        <v>2021</v>
      </c>
      <c r="E34" s="5" t="n">
        <v>2404</v>
      </c>
      <c r="F34" s="5" t="n">
        <v>20248</v>
      </c>
      <c r="G34" s="5" t="n">
        <v>130</v>
      </c>
      <c r="H34" s="10">
        <f>IF(E34&gt;0,G34/E34,"")</f>
        <v/>
      </c>
      <c r="I34" s="11">
        <f>IF(AND(F34&gt;0,G34&gt;0),F34/G34,"")</f>
        <v/>
      </c>
    </row>
    <row r="35">
      <c r="A35" s="4" t="inlineStr">
        <is>
          <t>121</t>
        </is>
      </c>
      <c r="B35" s="4" t="n">
        <v>1</v>
      </c>
      <c r="C35" s="4" t="inlineStr">
        <is>
          <t>mule deer</t>
        </is>
      </c>
      <c r="D35" s="4" t="n">
        <v>2022</v>
      </c>
      <c r="E35" s="5" t="n"/>
      <c r="F35" s="5" t="n"/>
      <c r="G35" s="5" t="n">
        <v>120</v>
      </c>
      <c r="H35" s="10">
        <f>IF(E35&gt;0,G35/E35,"")</f>
        <v/>
      </c>
      <c r="I35" s="11">
        <f>IF(AND(F35&gt;0,G35&gt;0),F35/G35,"")</f>
        <v/>
      </c>
    </row>
    <row r="36">
      <c r="A36" s="4" t="inlineStr">
        <is>
          <t>121</t>
        </is>
      </c>
      <c r="B36" s="4" t="n">
        <v>1</v>
      </c>
      <c r="C36" s="4" t="inlineStr">
        <is>
          <t>mule deer</t>
        </is>
      </c>
      <c r="D36" s="4" t="n">
        <v>2023</v>
      </c>
      <c r="E36" s="5" t="n">
        <v>2551</v>
      </c>
      <c r="F36" s="5" t="n">
        <v>21482</v>
      </c>
      <c r="G36" s="5" t="n">
        <v>131</v>
      </c>
      <c r="H36" s="10">
        <f>IF(E36&gt;0,G36/E36,"")</f>
        <v/>
      </c>
      <c r="I36" s="11">
        <f>IF(AND(F36&gt;0,G36&gt;0),F36/G36,"")</f>
        <v/>
      </c>
    </row>
    <row r="37">
      <c r="A37" s="4" t="inlineStr">
        <is>
          <t>121</t>
        </is>
      </c>
      <c r="B37" s="4" t="n">
        <v>1</v>
      </c>
      <c r="C37" s="4" t="inlineStr">
        <is>
          <t>mule deer</t>
        </is>
      </c>
      <c r="D37" s="4" t="n">
        <v>2024</v>
      </c>
      <c r="E37" s="5" t="n"/>
      <c r="F37" s="5" t="n"/>
      <c r="G37" s="5" t="n">
        <v>169</v>
      </c>
      <c r="H37" s="10">
        <f>IF(E37&gt;0,G37/E37,"")</f>
        <v/>
      </c>
      <c r="I37" s="11">
        <f>IF(AND(F37&gt;0,G37&gt;0),F37/G37,"")</f>
        <v/>
      </c>
    </row>
    <row r="38">
      <c r="A38" s="4" t="inlineStr">
        <is>
          <t>121</t>
        </is>
      </c>
      <c r="B38" s="4" t="n">
        <v>1</v>
      </c>
      <c r="C38" s="4" t="inlineStr">
        <is>
          <t>mule deer</t>
        </is>
      </c>
      <c r="D38" s="4" t="n">
        <v>2025</v>
      </c>
      <c r="E38" s="5" t="n">
        <v>2639</v>
      </c>
      <c r="F38" s="5" t="n">
        <v>22986</v>
      </c>
      <c r="G38" s="5" t="n">
        <v>176</v>
      </c>
      <c r="H38" s="10">
        <f>IF(E38&gt;0,G38/E38,"")</f>
        <v/>
      </c>
      <c r="I38" s="11">
        <f>IF(AND(F38&gt;0,G38&gt;0),F38/G38,"")</f>
        <v/>
      </c>
    </row>
    <row r="39">
      <c r="A39" s="4" t="inlineStr">
        <is>
          <t>122</t>
        </is>
      </c>
      <c r="B39" s="4" t="n">
        <v>1</v>
      </c>
      <c r="C39" s="4" t="inlineStr">
        <is>
          <t>mule deer</t>
        </is>
      </c>
      <c r="D39" s="4" t="n">
        <v>2021</v>
      </c>
      <c r="E39" s="5" t="n">
        <v>1896</v>
      </c>
      <c r="F39" s="5" t="n">
        <v>15178</v>
      </c>
      <c r="G39" s="5" t="n">
        <v>123</v>
      </c>
      <c r="H39" s="10">
        <f>IF(E39&gt;0,G39/E39,"")</f>
        <v/>
      </c>
      <c r="I39" s="11">
        <f>IF(AND(F39&gt;0,G39&gt;0),F39/G39,"")</f>
        <v/>
      </c>
    </row>
    <row r="40">
      <c r="A40" s="4" t="inlineStr">
        <is>
          <t>122</t>
        </is>
      </c>
      <c r="B40" s="4" t="n">
        <v>1</v>
      </c>
      <c r="C40" s="4" t="inlineStr">
        <is>
          <t>mule deer</t>
        </is>
      </c>
      <c r="D40" s="4" t="n">
        <v>2022</v>
      </c>
      <c r="E40" s="5" t="n"/>
      <c r="F40" s="5" t="n"/>
      <c r="G40" s="5" t="n">
        <v>158</v>
      </c>
      <c r="H40" s="10">
        <f>IF(E40&gt;0,G40/E40,"")</f>
        <v/>
      </c>
      <c r="I40" s="11">
        <f>IF(AND(F40&gt;0,G40&gt;0),F40/G40,"")</f>
        <v/>
      </c>
    </row>
    <row r="41">
      <c r="A41" s="4" t="inlineStr">
        <is>
          <t>122</t>
        </is>
      </c>
      <c r="B41" s="4" t="n">
        <v>1</v>
      </c>
      <c r="C41" s="4" t="inlineStr">
        <is>
          <t>mule deer</t>
        </is>
      </c>
      <c r="D41" s="4" t="n">
        <v>2023</v>
      </c>
      <c r="E41" s="5" t="n">
        <v>2183</v>
      </c>
      <c r="F41" s="5" t="n">
        <v>16754</v>
      </c>
      <c r="G41" s="5" t="n">
        <v>189</v>
      </c>
      <c r="H41" s="10">
        <f>IF(E41&gt;0,G41/E41,"")</f>
        <v/>
      </c>
      <c r="I41" s="11">
        <f>IF(AND(F41&gt;0,G41&gt;0),F41/G41,"")</f>
        <v/>
      </c>
    </row>
    <row r="42">
      <c r="A42" s="4" t="inlineStr">
        <is>
          <t>122</t>
        </is>
      </c>
      <c r="B42" s="4" t="n">
        <v>1</v>
      </c>
      <c r="C42" s="4" t="inlineStr">
        <is>
          <t>mule deer</t>
        </is>
      </c>
      <c r="D42" s="4" t="n">
        <v>2024</v>
      </c>
      <c r="E42" s="5" t="n"/>
      <c r="F42" s="5" t="n"/>
      <c r="G42" s="5" t="n">
        <v>201</v>
      </c>
      <c r="H42" s="10">
        <f>IF(E42&gt;0,G42/E42,"")</f>
        <v/>
      </c>
      <c r="I42" s="11">
        <f>IF(AND(F42&gt;0,G42&gt;0),F42/G42,"")</f>
        <v/>
      </c>
    </row>
    <row r="43">
      <c r="A43" s="4" t="inlineStr">
        <is>
          <t>122</t>
        </is>
      </c>
      <c r="B43" s="4" t="n">
        <v>1</v>
      </c>
      <c r="C43" s="4" t="inlineStr">
        <is>
          <t>mule deer</t>
        </is>
      </c>
      <c r="D43" s="4" t="n">
        <v>2025</v>
      </c>
      <c r="E43" s="5" t="n">
        <v>2412</v>
      </c>
      <c r="F43" s="5" t="n">
        <v>18636</v>
      </c>
      <c r="G43" s="5" t="n">
        <v>160</v>
      </c>
      <c r="H43" s="10">
        <f>IF(E43&gt;0,G43/E43,"")</f>
        <v/>
      </c>
      <c r="I43" s="11">
        <f>IF(AND(F43&gt;0,G43&gt;0),F43/G43,"")</f>
        <v/>
      </c>
    </row>
    <row r="44">
      <c r="A44" s="4" t="inlineStr">
        <is>
          <t>123</t>
        </is>
      </c>
      <c r="B44" s="4" t="n">
        <v>1</v>
      </c>
      <c r="C44" s="4" t="inlineStr">
        <is>
          <t>mule deer</t>
        </is>
      </c>
      <c r="D44" s="4" t="n">
        <v>2021</v>
      </c>
      <c r="E44" s="5" t="n">
        <v>603</v>
      </c>
      <c r="F44" s="5" t="n">
        <v>3638</v>
      </c>
      <c r="G44" s="5" t="n">
        <v>19</v>
      </c>
      <c r="H44" s="10">
        <f>IF(E44&gt;0,G44/E44,"")</f>
        <v/>
      </c>
      <c r="I44" s="11">
        <f>IF(AND(F44&gt;0,G44&gt;0),F44/G44,"")</f>
        <v/>
      </c>
    </row>
    <row r="45">
      <c r="A45" s="4" t="inlineStr">
        <is>
          <t>123</t>
        </is>
      </c>
      <c r="B45" s="4" t="n">
        <v>1</v>
      </c>
      <c r="C45" s="4" t="inlineStr">
        <is>
          <t>mule deer</t>
        </is>
      </c>
      <c r="D45" s="4" t="n">
        <v>2022</v>
      </c>
      <c r="E45" s="5" t="n"/>
      <c r="F45" s="5" t="n"/>
      <c r="G45" s="5" t="n">
        <v>26</v>
      </c>
      <c r="H45" s="10">
        <f>IF(E45&gt;0,G45/E45,"")</f>
        <v/>
      </c>
      <c r="I45" s="11">
        <f>IF(AND(F45&gt;0,G45&gt;0),F45/G45,"")</f>
        <v/>
      </c>
    </row>
    <row r="46">
      <c r="A46" s="4" t="inlineStr">
        <is>
          <t>123</t>
        </is>
      </c>
      <c r="B46" s="4" t="n">
        <v>1</v>
      </c>
      <c r="C46" s="4" t="inlineStr">
        <is>
          <t>mule deer</t>
        </is>
      </c>
      <c r="D46" s="4" t="n">
        <v>2023</v>
      </c>
      <c r="E46" s="5" t="n">
        <v>585</v>
      </c>
      <c r="F46" s="5" t="n">
        <v>5209</v>
      </c>
      <c r="G46" s="5" t="n">
        <v>47</v>
      </c>
      <c r="H46" s="10">
        <f>IF(E46&gt;0,G46/E46,"")</f>
        <v/>
      </c>
      <c r="I46" s="11">
        <f>IF(AND(F46&gt;0,G46&gt;0),F46/G46,"")</f>
        <v/>
      </c>
    </row>
    <row r="47">
      <c r="A47" s="4" t="inlineStr">
        <is>
          <t>123</t>
        </is>
      </c>
      <c r="B47" s="4" t="n">
        <v>1</v>
      </c>
      <c r="C47" s="4" t="inlineStr">
        <is>
          <t>mule deer</t>
        </is>
      </c>
      <c r="D47" s="4" t="n">
        <v>2024</v>
      </c>
      <c r="E47" s="5" t="n"/>
      <c r="F47" s="5" t="n"/>
      <c r="G47" s="5" t="n">
        <v>72</v>
      </c>
      <c r="H47" s="10">
        <f>IF(E47&gt;0,G47/E47,"")</f>
        <v/>
      </c>
      <c r="I47" s="11">
        <f>IF(AND(F47&gt;0,G47&gt;0),F47/G47,"")</f>
        <v/>
      </c>
    </row>
    <row r="48">
      <c r="A48" s="4" t="inlineStr">
        <is>
          <t>123</t>
        </is>
      </c>
      <c r="B48" s="4" t="n">
        <v>1</v>
      </c>
      <c r="C48" s="4" t="inlineStr">
        <is>
          <t>mule deer</t>
        </is>
      </c>
      <c r="D48" s="4" t="n">
        <v>2025</v>
      </c>
      <c r="E48" s="5" t="n">
        <v>702</v>
      </c>
      <c r="F48" s="5" t="n">
        <v>5564</v>
      </c>
      <c r="G48" s="5" t="n">
        <v>53</v>
      </c>
      <c r="H48" s="10">
        <f>IF(E48&gt;0,G48/E48,"")</f>
        <v/>
      </c>
      <c r="I48" s="11">
        <f>IF(AND(F48&gt;0,G48&gt;0),F48/G48,"")</f>
        <v/>
      </c>
    </row>
    <row r="49">
      <c r="A49" s="4" t="inlineStr">
        <is>
          <t>124</t>
        </is>
      </c>
      <c r="B49" s="4" t="n">
        <v>1</v>
      </c>
      <c r="C49" s="4" t="inlineStr">
        <is>
          <t>mule deer</t>
        </is>
      </c>
      <c r="D49" s="4" t="n">
        <v>2021</v>
      </c>
      <c r="E49" s="5" t="n">
        <v>425</v>
      </c>
      <c r="F49" s="5" t="n">
        <v>3216</v>
      </c>
      <c r="G49" s="5" t="n">
        <v>27</v>
      </c>
      <c r="H49" s="10">
        <f>IF(E49&gt;0,G49/E49,"")</f>
        <v/>
      </c>
      <c r="I49" s="11">
        <f>IF(AND(F49&gt;0,G49&gt;0),F49/G49,"")</f>
        <v/>
      </c>
    </row>
    <row r="50">
      <c r="A50" s="4" t="inlineStr">
        <is>
          <t>124</t>
        </is>
      </c>
      <c r="B50" s="4" t="n">
        <v>1</v>
      </c>
      <c r="C50" s="4" t="inlineStr">
        <is>
          <t>mule deer</t>
        </is>
      </c>
      <c r="D50" s="4" t="n">
        <v>2022</v>
      </c>
      <c r="E50" s="5" t="n"/>
      <c r="F50" s="5" t="n"/>
      <c r="G50" s="5" t="n">
        <v>71</v>
      </c>
      <c r="H50" s="10">
        <f>IF(E50&gt;0,G50/E50,"")</f>
        <v/>
      </c>
      <c r="I50" s="11">
        <f>IF(AND(F50&gt;0,G50&gt;0),F50/G50,"")</f>
        <v/>
      </c>
    </row>
    <row r="51">
      <c r="A51" s="4" t="inlineStr">
        <is>
          <t>124</t>
        </is>
      </c>
      <c r="B51" s="4" t="n">
        <v>1</v>
      </c>
      <c r="C51" s="4" t="inlineStr">
        <is>
          <t>mule deer</t>
        </is>
      </c>
      <c r="D51" s="4" t="n">
        <v>2023</v>
      </c>
      <c r="E51" s="5" t="n">
        <v>446</v>
      </c>
      <c r="F51" s="5" t="n">
        <v>3681</v>
      </c>
      <c r="G51" s="5" t="n">
        <v>65</v>
      </c>
      <c r="H51" s="10">
        <f>IF(E51&gt;0,G51/E51,"")</f>
        <v/>
      </c>
      <c r="I51" s="11">
        <f>IF(AND(F51&gt;0,G51&gt;0),F51/G51,"")</f>
        <v/>
      </c>
    </row>
    <row r="52">
      <c r="A52" s="4" t="inlineStr">
        <is>
          <t>124</t>
        </is>
      </c>
      <c r="B52" s="4" t="n">
        <v>1</v>
      </c>
      <c r="C52" s="4" t="inlineStr">
        <is>
          <t>mule deer</t>
        </is>
      </c>
      <c r="D52" s="4" t="n">
        <v>2024</v>
      </c>
      <c r="E52" s="5" t="n"/>
      <c r="F52" s="5" t="n"/>
      <c r="G52" s="5" t="n">
        <v>53</v>
      </c>
      <c r="H52" s="10">
        <f>IF(E52&gt;0,G52/E52,"")</f>
        <v/>
      </c>
      <c r="I52" s="11">
        <f>IF(AND(F52&gt;0,G52&gt;0),F52/G52,"")</f>
        <v/>
      </c>
    </row>
    <row r="53">
      <c r="A53" s="4" t="inlineStr">
        <is>
          <t>124</t>
        </is>
      </c>
      <c r="B53" s="4" t="n">
        <v>1</v>
      </c>
      <c r="C53" s="4" t="inlineStr">
        <is>
          <t>mule deer</t>
        </is>
      </c>
      <c r="D53" s="4" t="n">
        <v>2025</v>
      </c>
      <c r="E53" s="5" t="n">
        <v>441</v>
      </c>
      <c r="F53" s="5" t="n">
        <v>3426</v>
      </c>
      <c r="G53" s="5" t="n">
        <v>75</v>
      </c>
      <c r="H53" s="10">
        <f>IF(E53&gt;0,G53/E53,"")</f>
        <v/>
      </c>
      <c r="I53" s="11">
        <f>IF(AND(F53&gt;0,G53&gt;0),F53/G53,"")</f>
        <v/>
      </c>
    </row>
    <row r="54">
      <c r="A54" s="4" t="inlineStr">
        <is>
          <t>130</t>
        </is>
      </c>
      <c r="B54" s="4" t="n">
        <v>1</v>
      </c>
      <c r="C54" s="4" t="inlineStr">
        <is>
          <t>mule deer</t>
        </is>
      </c>
      <c r="D54" s="4" t="n">
        <v>2021</v>
      </c>
      <c r="E54" s="5" t="n">
        <v>1820</v>
      </c>
      <c r="F54" s="5" t="n">
        <v>11720</v>
      </c>
      <c r="G54" s="5" t="n">
        <v>14</v>
      </c>
      <c r="H54" s="10">
        <f>IF(E54&gt;0,G54/E54,"")</f>
        <v/>
      </c>
      <c r="I54" s="11">
        <f>IF(AND(F54&gt;0,G54&gt;0),F54/G54,"")</f>
        <v/>
      </c>
    </row>
    <row r="55">
      <c r="A55" s="4" t="inlineStr">
        <is>
          <t>130</t>
        </is>
      </c>
      <c r="B55" s="4" t="n">
        <v>1</v>
      </c>
      <c r="C55" s="4" t="inlineStr">
        <is>
          <t>mule deer</t>
        </is>
      </c>
      <c r="D55" s="4" t="n">
        <v>2022</v>
      </c>
      <c r="E55" s="5" t="n"/>
      <c r="F55" s="5" t="n"/>
      <c r="G55" s="5" t="n">
        <v>33</v>
      </c>
      <c r="H55" s="10">
        <f>IF(E55&gt;0,G55/E55,"")</f>
        <v/>
      </c>
      <c r="I55" s="11">
        <f>IF(AND(F55&gt;0,G55&gt;0),F55/G55,"")</f>
        <v/>
      </c>
    </row>
    <row r="56">
      <c r="A56" s="4" t="inlineStr">
        <is>
          <t>130</t>
        </is>
      </c>
      <c r="B56" s="4" t="n">
        <v>1</v>
      </c>
      <c r="C56" s="4" t="inlineStr">
        <is>
          <t>mule deer</t>
        </is>
      </c>
      <c r="D56" s="4" t="n">
        <v>2023</v>
      </c>
      <c r="E56" s="5" t="n">
        <v>1785</v>
      </c>
      <c r="F56" s="5" t="n">
        <v>11029</v>
      </c>
      <c r="G56" s="5" t="n">
        <v>20</v>
      </c>
      <c r="H56" s="10">
        <f>IF(E56&gt;0,G56/E56,"")</f>
        <v/>
      </c>
      <c r="I56" s="11">
        <f>IF(AND(F56&gt;0,G56&gt;0),F56/G56,"")</f>
        <v/>
      </c>
    </row>
    <row r="57">
      <c r="A57" s="4" t="inlineStr">
        <is>
          <t>130</t>
        </is>
      </c>
      <c r="B57" s="4" t="n">
        <v>1</v>
      </c>
      <c r="C57" s="4" t="inlineStr">
        <is>
          <t>mule deer</t>
        </is>
      </c>
      <c r="D57" s="4" t="n">
        <v>2024</v>
      </c>
      <c r="E57" s="5" t="n"/>
      <c r="F57" s="5" t="n"/>
      <c r="G57" s="5" t="n">
        <v>32</v>
      </c>
      <c r="H57" s="10">
        <f>IF(E57&gt;0,G57/E57,"")</f>
        <v/>
      </c>
      <c r="I57" s="11">
        <f>IF(AND(F57&gt;0,G57&gt;0),F57/G57,"")</f>
        <v/>
      </c>
    </row>
    <row r="58">
      <c r="A58" s="4" t="inlineStr">
        <is>
          <t>130</t>
        </is>
      </c>
      <c r="B58" s="4" t="n">
        <v>1</v>
      </c>
      <c r="C58" s="4" t="inlineStr">
        <is>
          <t>mule deer</t>
        </is>
      </c>
      <c r="D58" s="4" t="n">
        <v>2025</v>
      </c>
      <c r="E58" s="5" t="n">
        <v>2069</v>
      </c>
      <c r="F58" s="5" t="n">
        <v>12295</v>
      </c>
      <c r="G58" s="5" t="n">
        <v>45</v>
      </c>
      <c r="H58" s="10">
        <f>IF(E58&gt;0,G58/E58,"")</f>
        <v/>
      </c>
      <c r="I58" s="11">
        <f>IF(AND(F58&gt;0,G58&gt;0),F58/G58,"")</f>
        <v/>
      </c>
    </row>
    <row r="59">
      <c r="A59" s="4" t="inlineStr">
        <is>
          <t>140</t>
        </is>
      </c>
      <c r="B59" s="4" t="n">
        <v>1</v>
      </c>
      <c r="C59" s="4" t="inlineStr">
        <is>
          <t>mule deer</t>
        </is>
      </c>
      <c r="D59" s="4" t="n">
        <v>2021</v>
      </c>
      <c r="E59" s="5" t="n">
        <v>638</v>
      </c>
      <c r="F59" s="5" t="n">
        <v>4400</v>
      </c>
      <c r="G59" s="5" t="n">
        <v>28</v>
      </c>
      <c r="H59" s="10">
        <f>IF(E59&gt;0,G59/E59,"")</f>
        <v/>
      </c>
      <c r="I59" s="11">
        <f>IF(AND(F59&gt;0,G59&gt;0),F59/G59,"")</f>
        <v/>
      </c>
    </row>
    <row r="60">
      <c r="A60" s="4" t="inlineStr">
        <is>
          <t>140</t>
        </is>
      </c>
      <c r="B60" s="4" t="n">
        <v>1</v>
      </c>
      <c r="C60" s="4" t="inlineStr">
        <is>
          <t>mule deer</t>
        </is>
      </c>
      <c r="D60" s="4" t="n">
        <v>2022</v>
      </c>
      <c r="E60" s="5" t="n"/>
      <c r="F60" s="5" t="n"/>
      <c r="G60" s="5" t="n">
        <v>36</v>
      </c>
      <c r="H60" s="10">
        <f>IF(E60&gt;0,G60/E60,"")</f>
        <v/>
      </c>
      <c r="I60" s="11">
        <f>IF(AND(F60&gt;0,G60&gt;0),F60/G60,"")</f>
        <v/>
      </c>
    </row>
    <row r="61">
      <c r="A61" s="4" t="inlineStr">
        <is>
          <t>140</t>
        </is>
      </c>
      <c r="B61" s="4" t="n">
        <v>1</v>
      </c>
      <c r="C61" s="4" t="inlineStr">
        <is>
          <t>mule deer</t>
        </is>
      </c>
      <c r="D61" s="4" t="n">
        <v>2023</v>
      </c>
      <c r="E61" s="5" t="n">
        <v>628</v>
      </c>
      <c r="F61" s="5" t="n">
        <v>4228</v>
      </c>
      <c r="G61" s="5" t="n">
        <v>44</v>
      </c>
      <c r="H61" s="10">
        <f>IF(E61&gt;0,G61/E61,"")</f>
        <v/>
      </c>
      <c r="I61" s="11">
        <f>IF(AND(F61&gt;0,G61&gt;0),F61/G61,"")</f>
        <v/>
      </c>
    </row>
    <row r="62">
      <c r="A62" s="4" t="inlineStr">
        <is>
          <t>140</t>
        </is>
      </c>
      <c r="B62" s="4" t="n">
        <v>1</v>
      </c>
      <c r="C62" s="4" t="inlineStr">
        <is>
          <t>mule deer</t>
        </is>
      </c>
      <c r="D62" s="4" t="n">
        <v>2024</v>
      </c>
      <c r="E62" s="5" t="n"/>
      <c r="F62" s="5" t="n"/>
      <c r="G62" s="5" t="n">
        <v>31</v>
      </c>
      <c r="H62" s="10">
        <f>IF(E62&gt;0,G62/E62,"")</f>
        <v/>
      </c>
      <c r="I62" s="11">
        <f>IF(AND(F62&gt;0,G62&gt;0),F62/G62,"")</f>
        <v/>
      </c>
    </row>
    <row r="63">
      <c r="A63" s="4" t="inlineStr">
        <is>
          <t>140</t>
        </is>
      </c>
      <c r="B63" s="4" t="n">
        <v>1</v>
      </c>
      <c r="C63" s="4" t="inlineStr">
        <is>
          <t>mule deer</t>
        </is>
      </c>
      <c r="D63" s="4" t="n">
        <v>2025</v>
      </c>
      <c r="E63" s="5" t="n">
        <v>750</v>
      </c>
      <c r="F63" s="5" t="n">
        <v>4851</v>
      </c>
      <c r="G63" s="5" t="n">
        <v>33</v>
      </c>
      <c r="H63" s="10">
        <f>IF(E63&gt;0,G63/E63,"")</f>
        <v/>
      </c>
      <c r="I63" s="11">
        <f>IF(AND(F63&gt;0,G63&gt;0),F63/G63,"")</f>
        <v/>
      </c>
    </row>
    <row r="64">
      <c r="A64" s="4" t="inlineStr">
        <is>
          <t>141</t>
        </is>
      </c>
      <c r="B64" s="4" t="n">
        <v>1</v>
      </c>
      <c r="C64" s="4" t="inlineStr">
        <is>
          <t>mule deer</t>
        </is>
      </c>
      <c r="D64" s="4" t="n">
        <v>2021</v>
      </c>
      <c r="E64" s="5" t="n">
        <v>81</v>
      </c>
      <c r="F64" s="5" t="n">
        <v>694</v>
      </c>
      <c r="G64" s="5" t="n">
        <v>11</v>
      </c>
      <c r="H64" s="10">
        <f>IF(E64&gt;0,G64/E64,"")</f>
        <v/>
      </c>
      <c r="I64" s="11">
        <f>IF(AND(F64&gt;0,G64&gt;0),F64/G64,"")</f>
        <v/>
      </c>
    </row>
    <row r="65">
      <c r="A65" s="4" t="inlineStr">
        <is>
          <t>141</t>
        </is>
      </c>
      <c r="B65" s="4" t="n">
        <v>1</v>
      </c>
      <c r="C65" s="4" t="inlineStr">
        <is>
          <t>mule deer</t>
        </is>
      </c>
      <c r="D65" s="4" t="n">
        <v>2022</v>
      </c>
      <c r="E65" s="5" t="n"/>
      <c r="F65" s="5" t="n"/>
      <c r="G65" s="5" t="n">
        <v>7</v>
      </c>
      <c r="H65" s="10">
        <f>IF(E65&gt;0,G65/E65,"")</f>
        <v/>
      </c>
      <c r="I65" s="11">
        <f>IF(AND(F65&gt;0,G65&gt;0),F65/G65,"")</f>
        <v/>
      </c>
    </row>
    <row r="66">
      <c r="A66" s="4" t="inlineStr">
        <is>
          <t>141</t>
        </is>
      </c>
      <c r="B66" s="4" t="n">
        <v>1</v>
      </c>
      <c r="C66" s="4" t="inlineStr">
        <is>
          <t>mule deer</t>
        </is>
      </c>
      <c r="D66" s="4" t="n">
        <v>2023</v>
      </c>
      <c r="E66" s="5" t="n">
        <v>74</v>
      </c>
      <c r="F66" s="5" t="n">
        <v>390</v>
      </c>
      <c r="G66" s="5" t="n">
        <v>10</v>
      </c>
      <c r="H66" s="10">
        <f>IF(E66&gt;0,G66/E66,"")</f>
        <v/>
      </c>
      <c r="I66" s="11">
        <f>IF(AND(F66&gt;0,G66&gt;0),F66/G66,"")</f>
        <v/>
      </c>
    </row>
    <row r="67">
      <c r="A67" s="4" t="inlineStr">
        <is>
          <t>141</t>
        </is>
      </c>
      <c r="B67" s="4" t="n">
        <v>1</v>
      </c>
      <c r="C67" s="4" t="inlineStr">
        <is>
          <t>mule deer</t>
        </is>
      </c>
      <c r="D67" s="4" t="n">
        <v>2024</v>
      </c>
      <c r="E67" s="5" t="n"/>
      <c r="F67" s="5" t="n"/>
      <c r="G67" s="5" t="n">
        <v>3</v>
      </c>
      <c r="H67" s="10">
        <f>IF(E67&gt;0,G67/E67,"")</f>
        <v/>
      </c>
      <c r="I67" s="11">
        <f>IF(AND(F67&gt;0,G67&gt;0),F67/G67,"")</f>
        <v/>
      </c>
    </row>
    <row r="68">
      <c r="A68" s="4" t="inlineStr">
        <is>
          <t>141</t>
        </is>
      </c>
      <c r="B68" s="4" t="n">
        <v>1</v>
      </c>
      <c r="C68" s="4" t="inlineStr">
        <is>
          <t>mule deer</t>
        </is>
      </c>
      <c r="D68" s="4" t="n">
        <v>2025</v>
      </c>
      <c r="E68" s="5" t="n">
        <v>139</v>
      </c>
      <c r="F68" s="5" t="n">
        <v>1103</v>
      </c>
      <c r="G68" s="5" t="n">
        <v>7</v>
      </c>
      <c r="H68" s="10">
        <f>IF(E68&gt;0,G68/E68,"")</f>
        <v/>
      </c>
      <c r="I68" s="11">
        <f>IF(AND(F68&gt;0,G68&gt;0),F68/G68,"")</f>
        <v/>
      </c>
    </row>
    <row r="69">
      <c r="A69" s="4" t="inlineStr">
        <is>
          <t>150</t>
        </is>
      </c>
      <c r="B69" s="4" t="n">
        <v>1</v>
      </c>
      <c r="C69" s="4" t="inlineStr">
        <is>
          <t>mule deer</t>
        </is>
      </c>
      <c r="D69" s="4" t="n">
        <v>2021</v>
      </c>
      <c r="E69" s="5" t="n">
        <v>138</v>
      </c>
      <c r="F69" s="5" t="n">
        <v>1096</v>
      </c>
      <c r="G69" s="5" t="n">
        <v>8</v>
      </c>
      <c r="H69" s="10">
        <f>IF(E69&gt;0,G69/E69,"")</f>
        <v/>
      </c>
      <c r="I69" s="11">
        <f>IF(AND(F69&gt;0,G69&gt;0),F69/G69,"")</f>
        <v/>
      </c>
    </row>
    <row r="70">
      <c r="A70" s="4" t="inlineStr">
        <is>
          <t>150</t>
        </is>
      </c>
      <c r="B70" s="4" t="n">
        <v>1</v>
      </c>
      <c r="C70" s="4" t="inlineStr">
        <is>
          <t>mule deer</t>
        </is>
      </c>
      <c r="D70" s="4" t="n">
        <v>2022</v>
      </c>
      <c r="E70" s="5" t="n"/>
      <c r="F70" s="5" t="n"/>
      <c r="G70" s="5" t="n">
        <v>10</v>
      </c>
      <c r="H70" s="10">
        <f>IF(E70&gt;0,G70/E70,"")</f>
        <v/>
      </c>
      <c r="I70" s="11">
        <f>IF(AND(F70&gt;0,G70&gt;0),F70/G70,"")</f>
        <v/>
      </c>
    </row>
    <row r="71">
      <c r="A71" s="4" t="inlineStr">
        <is>
          <t>150</t>
        </is>
      </c>
      <c r="B71" s="4" t="n">
        <v>1</v>
      </c>
      <c r="C71" s="4" t="inlineStr">
        <is>
          <t>mule deer</t>
        </is>
      </c>
      <c r="D71" s="4" t="n">
        <v>2023</v>
      </c>
      <c r="E71" s="5" t="n">
        <v>205</v>
      </c>
      <c r="F71" s="5" t="n">
        <v>1388</v>
      </c>
      <c r="G71" s="5" t="n">
        <v>9</v>
      </c>
      <c r="H71" s="10">
        <f>IF(E71&gt;0,G71/E71,"")</f>
        <v/>
      </c>
      <c r="I71" s="11">
        <f>IF(AND(F71&gt;0,G71&gt;0),F71/G71,"")</f>
        <v/>
      </c>
    </row>
    <row r="72">
      <c r="A72" s="4" t="inlineStr">
        <is>
          <t>150</t>
        </is>
      </c>
      <c r="B72" s="4" t="n">
        <v>1</v>
      </c>
      <c r="C72" s="4" t="inlineStr">
        <is>
          <t>mule deer</t>
        </is>
      </c>
      <c r="D72" s="4" t="n">
        <v>2024</v>
      </c>
      <c r="E72" s="5" t="n"/>
      <c r="F72" s="5" t="n"/>
      <c r="G72" s="5" t="n">
        <v>12</v>
      </c>
      <c r="H72" s="10">
        <f>IF(E72&gt;0,G72/E72,"")</f>
        <v/>
      </c>
      <c r="I72" s="11">
        <f>IF(AND(F72&gt;0,G72&gt;0),F72/G72,"")</f>
        <v/>
      </c>
    </row>
    <row r="73">
      <c r="A73" s="4" t="inlineStr">
        <is>
          <t>150</t>
        </is>
      </c>
      <c r="B73" s="4" t="n">
        <v>1</v>
      </c>
      <c r="C73" s="4" t="inlineStr">
        <is>
          <t>mule deer</t>
        </is>
      </c>
      <c r="D73" s="4" t="n">
        <v>2025</v>
      </c>
      <c r="E73" s="5" t="n">
        <v>275</v>
      </c>
      <c r="F73" s="5" t="n">
        <v>1747</v>
      </c>
      <c r="G73" s="5" t="n">
        <v>10</v>
      </c>
      <c r="H73" s="10">
        <f>IF(E73&gt;0,G73/E73,"")</f>
        <v/>
      </c>
      <c r="I73" s="11">
        <f>IF(AND(F73&gt;0,G73&gt;0),F73/G73,"")</f>
        <v/>
      </c>
    </row>
    <row r="74">
      <c r="A74" s="4" t="inlineStr">
        <is>
          <t>170</t>
        </is>
      </c>
      <c r="B74" s="4" t="n">
        <v>1</v>
      </c>
      <c r="C74" s="4" t="inlineStr">
        <is>
          <t>mule deer</t>
        </is>
      </c>
      <c r="D74" s="4" t="n">
        <v>2021</v>
      </c>
      <c r="E74" s="5" t="n">
        <v>2244</v>
      </c>
      <c r="F74" s="5" t="n">
        <v>14012</v>
      </c>
      <c r="G74" s="5" t="n">
        <v>48</v>
      </c>
      <c r="H74" s="10">
        <f>IF(E74&gt;0,G74/E74,"")</f>
        <v/>
      </c>
      <c r="I74" s="11">
        <f>IF(AND(F74&gt;0,G74&gt;0),F74/G74,"")</f>
        <v/>
      </c>
    </row>
    <row r="75">
      <c r="A75" s="4" t="inlineStr">
        <is>
          <t>170</t>
        </is>
      </c>
      <c r="B75" s="4" t="n">
        <v>1</v>
      </c>
      <c r="C75" s="4" t="inlineStr">
        <is>
          <t>mule deer</t>
        </is>
      </c>
      <c r="D75" s="4" t="n">
        <v>2022</v>
      </c>
      <c r="E75" s="5" t="n"/>
      <c r="F75" s="5" t="n"/>
      <c r="G75" s="5" t="n">
        <v>40</v>
      </c>
      <c r="H75" s="10">
        <f>IF(E75&gt;0,G75/E75,"")</f>
        <v/>
      </c>
      <c r="I75" s="11">
        <f>IF(AND(F75&gt;0,G75&gt;0),F75/G75,"")</f>
        <v/>
      </c>
    </row>
    <row r="76">
      <c r="A76" s="4" t="inlineStr">
        <is>
          <t>170</t>
        </is>
      </c>
      <c r="B76" s="4" t="n">
        <v>1</v>
      </c>
      <c r="C76" s="4" t="inlineStr">
        <is>
          <t>mule deer</t>
        </is>
      </c>
      <c r="D76" s="4" t="n">
        <v>2023</v>
      </c>
      <c r="E76" s="5" t="n">
        <v>2431</v>
      </c>
      <c r="F76" s="5" t="n">
        <v>15560</v>
      </c>
      <c r="G76" s="5" t="n">
        <v>44</v>
      </c>
      <c r="H76" s="10">
        <f>IF(E76&gt;0,G76/E76,"")</f>
        <v/>
      </c>
      <c r="I76" s="11">
        <f>IF(AND(F76&gt;0,G76&gt;0),F76/G76,"")</f>
        <v/>
      </c>
    </row>
    <row r="77">
      <c r="A77" s="4" t="inlineStr">
        <is>
          <t>170</t>
        </is>
      </c>
      <c r="B77" s="4" t="n">
        <v>1</v>
      </c>
      <c r="C77" s="4" t="inlineStr">
        <is>
          <t>mule deer</t>
        </is>
      </c>
      <c r="D77" s="4" t="n">
        <v>2024</v>
      </c>
      <c r="E77" s="5" t="n"/>
      <c r="F77" s="5" t="n"/>
      <c r="G77" s="5" t="n">
        <v>36</v>
      </c>
      <c r="H77" s="10">
        <f>IF(E77&gt;0,G77/E77,"")</f>
        <v/>
      </c>
      <c r="I77" s="11">
        <f>IF(AND(F77&gt;0,G77&gt;0),F77/G77,"")</f>
        <v/>
      </c>
    </row>
    <row r="78">
      <c r="A78" s="4" t="inlineStr">
        <is>
          <t>170</t>
        </is>
      </c>
      <c r="B78" s="4" t="n">
        <v>1</v>
      </c>
      <c r="C78" s="4" t="inlineStr">
        <is>
          <t>mule deer</t>
        </is>
      </c>
      <c r="D78" s="4" t="n">
        <v>2025</v>
      </c>
      <c r="E78" s="5" t="n">
        <v>2713</v>
      </c>
      <c r="F78" s="5" t="n">
        <v>19536</v>
      </c>
      <c r="G78" s="5" t="n">
        <v>22</v>
      </c>
      <c r="H78" s="10">
        <f>IF(E78&gt;0,G78/E78,"")</f>
        <v/>
      </c>
      <c r="I78" s="11">
        <f>IF(AND(F78&gt;0,G78&gt;0),F78/G78,"")</f>
        <v/>
      </c>
    </row>
    <row r="79">
      <c r="A79" s="4" t="inlineStr">
        <is>
          <t>200</t>
        </is>
      </c>
      <c r="B79" s="4" t="n">
        <v>2</v>
      </c>
      <c r="C79" s="4" t="inlineStr">
        <is>
          <t>mule deer</t>
        </is>
      </c>
      <c r="D79" s="4" t="n">
        <v>2021</v>
      </c>
      <c r="E79" s="5" t="n">
        <v>673</v>
      </c>
      <c r="F79" s="5" t="n">
        <v>5623</v>
      </c>
      <c r="G79" s="5" t="n">
        <v>23</v>
      </c>
      <c r="H79" s="10">
        <f>IF(E79&gt;0,G79/E79,"")</f>
        <v/>
      </c>
      <c r="I79" s="11">
        <f>IF(AND(F79&gt;0,G79&gt;0),F79/G79,"")</f>
        <v/>
      </c>
    </row>
    <row r="80">
      <c r="A80" s="4" t="inlineStr">
        <is>
          <t>200</t>
        </is>
      </c>
      <c r="B80" s="4" t="n">
        <v>2</v>
      </c>
      <c r="C80" s="4" t="inlineStr">
        <is>
          <t>mule deer</t>
        </is>
      </c>
      <c r="D80" s="4" t="n">
        <v>2022</v>
      </c>
      <c r="E80" s="5" t="n"/>
      <c r="F80" s="5" t="n"/>
      <c r="G80" s="5" t="n">
        <v>10</v>
      </c>
      <c r="H80" s="10">
        <f>IF(E80&gt;0,G80/E80,"")</f>
        <v/>
      </c>
      <c r="I80" s="11">
        <f>IF(AND(F80&gt;0,G80&gt;0),F80/G80,"")</f>
        <v/>
      </c>
    </row>
    <row r="81">
      <c r="A81" s="4" t="inlineStr">
        <is>
          <t>200</t>
        </is>
      </c>
      <c r="B81" s="4" t="n">
        <v>2</v>
      </c>
      <c r="C81" s="4" t="inlineStr">
        <is>
          <t>mule deer</t>
        </is>
      </c>
      <c r="D81" s="4" t="n">
        <v>2023</v>
      </c>
      <c r="E81" s="5" t="n">
        <v>750</v>
      </c>
      <c r="F81" s="5" t="n">
        <v>5843</v>
      </c>
      <c r="G81" s="5" t="n">
        <v>45</v>
      </c>
      <c r="H81" s="10">
        <f>IF(E81&gt;0,G81/E81,"")</f>
        <v/>
      </c>
      <c r="I81" s="11">
        <f>IF(AND(F81&gt;0,G81&gt;0),F81/G81,"")</f>
        <v/>
      </c>
    </row>
    <row r="82">
      <c r="A82" s="4" t="inlineStr">
        <is>
          <t>200</t>
        </is>
      </c>
      <c r="B82" s="4" t="n">
        <v>2</v>
      </c>
      <c r="C82" s="4" t="inlineStr">
        <is>
          <t>mule deer</t>
        </is>
      </c>
      <c r="D82" s="4" t="n">
        <v>2024</v>
      </c>
      <c r="E82" s="5" t="n"/>
      <c r="F82" s="5" t="n"/>
      <c r="G82" s="5" t="n">
        <v>34</v>
      </c>
      <c r="H82" s="10">
        <f>IF(E82&gt;0,G82/E82,"")</f>
        <v/>
      </c>
      <c r="I82" s="11">
        <f>IF(AND(F82&gt;0,G82&gt;0),F82/G82,"")</f>
        <v/>
      </c>
    </row>
    <row r="83">
      <c r="A83" s="4" t="inlineStr">
        <is>
          <t>200</t>
        </is>
      </c>
      <c r="B83" s="4" t="n">
        <v>2</v>
      </c>
      <c r="C83" s="4" t="inlineStr">
        <is>
          <t>mule deer</t>
        </is>
      </c>
      <c r="D83" s="4" t="n">
        <v>2025</v>
      </c>
      <c r="E83" s="5" t="n">
        <v>618</v>
      </c>
      <c r="F83" s="5" t="n">
        <v>4231</v>
      </c>
      <c r="G83" s="5" t="n">
        <v>28</v>
      </c>
      <c r="H83" s="10">
        <f>IF(E83&gt;0,G83/E83,"")</f>
        <v/>
      </c>
      <c r="I83" s="11">
        <f>IF(AND(F83&gt;0,G83&gt;0),F83/G83,"")</f>
        <v/>
      </c>
    </row>
    <row r="84">
      <c r="A84" s="4" t="inlineStr">
        <is>
          <t>201</t>
        </is>
      </c>
      <c r="B84" s="4" t="n">
        <v>2</v>
      </c>
      <c r="C84" s="4" t="inlineStr">
        <is>
          <t>mule deer</t>
        </is>
      </c>
      <c r="D84" s="4" t="n">
        <v>2021</v>
      </c>
      <c r="E84" s="5" t="n">
        <v>2164</v>
      </c>
      <c r="F84" s="5" t="n">
        <v>15777</v>
      </c>
      <c r="G84" s="5" t="n">
        <v>87</v>
      </c>
      <c r="H84" s="10">
        <f>IF(E84&gt;0,G84/E84,"")</f>
        <v/>
      </c>
      <c r="I84" s="11">
        <f>IF(AND(F84&gt;0,G84&gt;0),F84/G84,"")</f>
        <v/>
      </c>
    </row>
    <row r="85">
      <c r="A85" s="4" t="inlineStr">
        <is>
          <t>201</t>
        </is>
      </c>
      <c r="B85" s="4" t="n">
        <v>2</v>
      </c>
      <c r="C85" s="4" t="inlineStr">
        <is>
          <t>mule deer</t>
        </is>
      </c>
      <c r="D85" s="4" t="n">
        <v>2022</v>
      </c>
      <c r="E85" s="5" t="n"/>
      <c r="F85" s="5" t="n"/>
      <c r="G85" s="5" t="n">
        <v>166</v>
      </c>
      <c r="H85" s="10">
        <f>IF(E85&gt;0,G85/E85,"")</f>
        <v/>
      </c>
      <c r="I85" s="11">
        <f>IF(AND(F85&gt;0,G85&gt;0),F85/G85,"")</f>
        <v/>
      </c>
    </row>
    <row r="86">
      <c r="A86" s="4" t="inlineStr">
        <is>
          <t>201</t>
        </is>
      </c>
      <c r="B86" s="4" t="n">
        <v>2</v>
      </c>
      <c r="C86" s="4" t="inlineStr">
        <is>
          <t>mule deer</t>
        </is>
      </c>
      <c r="D86" s="4" t="n">
        <v>2023</v>
      </c>
      <c r="E86" s="5" t="n">
        <v>3619</v>
      </c>
      <c r="F86" s="5" t="n">
        <v>25408</v>
      </c>
      <c r="G86" s="5" t="n">
        <v>211</v>
      </c>
      <c r="H86" s="10">
        <f>IF(E86&gt;0,G86/E86,"")</f>
        <v/>
      </c>
      <c r="I86" s="11">
        <f>IF(AND(F86&gt;0,G86&gt;0),F86/G86,"")</f>
        <v/>
      </c>
    </row>
    <row r="87">
      <c r="A87" s="4" t="inlineStr">
        <is>
          <t>201</t>
        </is>
      </c>
      <c r="B87" s="4" t="n">
        <v>2</v>
      </c>
      <c r="C87" s="4" t="inlineStr">
        <is>
          <t>mule deer</t>
        </is>
      </c>
      <c r="D87" s="4" t="n">
        <v>2024</v>
      </c>
      <c r="E87" s="5" t="n"/>
      <c r="F87" s="5" t="n"/>
      <c r="G87" s="5" t="n">
        <v>205</v>
      </c>
      <c r="H87" s="10">
        <f>IF(E87&gt;0,G87/E87,"")</f>
        <v/>
      </c>
      <c r="I87" s="11">
        <f>IF(AND(F87&gt;0,G87&gt;0),F87/G87,"")</f>
        <v/>
      </c>
    </row>
    <row r="88">
      <c r="A88" s="4" t="inlineStr">
        <is>
          <t>201</t>
        </is>
      </c>
      <c r="B88" s="4" t="n">
        <v>2</v>
      </c>
      <c r="C88" s="4" t="inlineStr">
        <is>
          <t>mule deer</t>
        </is>
      </c>
      <c r="D88" s="4" t="n">
        <v>2025</v>
      </c>
      <c r="E88" s="5" t="n">
        <v>3441</v>
      </c>
      <c r="F88" s="5" t="n">
        <v>23120</v>
      </c>
      <c r="G88" s="5" t="n">
        <v>185</v>
      </c>
      <c r="H88" s="10">
        <f>IF(E88&gt;0,G88/E88,"")</f>
        <v/>
      </c>
      <c r="I88" s="11">
        <f>IF(AND(F88&gt;0,G88&gt;0),F88/G88,"")</f>
        <v/>
      </c>
    </row>
    <row r="89">
      <c r="A89" s="4" t="inlineStr">
        <is>
          <t>202</t>
        </is>
      </c>
      <c r="B89" s="4" t="n">
        <v>2</v>
      </c>
      <c r="C89" s="4" t="inlineStr">
        <is>
          <t>mule deer</t>
        </is>
      </c>
      <c r="D89" s="4" t="n">
        <v>2021</v>
      </c>
      <c r="E89" s="5" t="n">
        <v>1402</v>
      </c>
      <c r="F89" s="5" t="n">
        <v>9944</v>
      </c>
      <c r="G89" s="5" t="n">
        <v>95</v>
      </c>
      <c r="H89" s="10">
        <f>IF(E89&gt;0,G89/E89,"")</f>
        <v/>
      </c>
      <c r="I89" s="11">
        <f>IF(AND(F89&gt;0,G89&gt;0),F89/G89,"")</f>
        <v/>
      </c>
    </row>
    <row r="90">
      <c r="A90" s="4" t="inlineStr">
        <is>
          <t>202</t>
        </is>
      </c>
      <c r="B90" s="4" t="n">
        <v>2</v>
      </c>
      <c r="C90" s="4" t="inlineStr">
        <is>
          <t>mule deer</t>
        </is>
      </c>
      <c r="D90" s="4" t="n">
        <v>2022</v>
      </c>
      <c r="E90" s="5" t="n"/>
      <c r="F90" s="5" t="n"/>
      <c r="G90" s="5" t="n">
        <v>67</v>
      </c>
      <c r="H90" s="10">
        <f>IF(E90&gt;0,G90/E90,"")</f>
        <v/>
      </c>
      <c r="I90" s="11">
        <f>IF(AND(F90&gt;0,G90&gt;0),F90/G90,"")</f>
        <v/>
      </c>
    </row>
    <row r="91">
      <c r="A91" s="4" t="inlineStr">
        <is>
          <t>202</t>
        </is>
      </c>
      <c r="B91" s="4" t="n">
        <v>2</v>
      </c>
      <c r="C91" s="4" t="inlineStr">
        <is>
          <t>mule deer</t>
        </is>
      </c>
      <c r="D91" s="4" t="n">
        <v>2023</v>
      </c>
      <c r="E91" s="5" t="n">
        <v>1796</v>
      </c>
      <c r="F91" s="5" t="n">
        <v>12826</v>
      </c>
      <c r="G91" s="5" t="n">
        <v>83</v>
      </c>
      <c r="H91" s="10">
        <f>IF(E91&gt;0,G91/E91,"")</f>
        <v/>
      </c>
      <c r="I91" s="11">
        <f>IF(AND(F91&gt;0,G91&gt;0),F91/G91,"")</f>
        <v/>
      </c>
    </row>
    <row r="92">
      <c r="A92" s="4" t="inlineStr">
        <is>
          <t>202</t>
        </is>
      </c>
      <c r="B92" s="4" t="n">
        <v>2</v>
      </c>
      <c r="C92" s="4" t="inlineStr">
        <is>
          <t>mule deer</t>
        </is>
      </c>
      <c r="D92" s="4" t="n">
        <v>2024</v>
      </c>
      <c r="E92" s="5" t="n"/>
      <c r="F92" s="5" t="n"/>
      <c r="G92" s="5" t="n">
        <v>99</v>
      </c>
      <c r="H92" s="10">
        <f>IF(E92&gt;0,G92/E92,"")</f>
        <v/>
      </c>
      <c r="I92" s="11">
        <f>IF(AND(F92&gt;0,G92&gt;0),F92/G92,"")</f>
        <v/>
      </c>
    </row>
    <row r="93">
      <c r="A93" s="4" t="inlineStr">
        <is>
          <t>202</t>
        </is>
      </c>
      <c r="B93" s="4" t="n">
        <v>2</v>
      </c>
      <c r="C93" s="4" t="inlineStr">
        <is>
          <t>mule deer</t>
        </is>
      </c>
      <c r="D93" s="4" t="n">
        <v>2025</v>
      </c>
      <c r="E93" s="5" t="n">
        <v>1814</v>
      </c>
      <c r="F93" s="5" t="n">
        <v>11696</v>
      </c>
      <c r="G93" s="5" t="n">
        <v>104</v>
      </c>
      <c r="H93" s="10">
        <f>IF(E93&gt;0,G93/E93,"")</f>
        <v/>
      </c>
      <c r="I93" s="11">
        <f>IF(AND(F93&gt;0,G93&gt;0),F93/G93,"")</f>
        <v/>
      </c>
    </row>
    <row r="94">
      <c r="A94" s="4" t="inlineStr">
        <is>
          <t>203</t>
        </is>
      </c>
      <c r="B94" s="4" t="n">
        <v>2</v>
      </c>
      <c r="C94" s="4" t="inlineStr">
        <is>
          <t>mule deer</t>
        </is>
      </c>
      <c r="D94" s="4" t="n">
        <v>2021</v>
      </c>
      <c r="E94" s="5" t="n">
        <v>1498</v>
      </c>
      <c r="F94" s="5" t="n">
        <v>8671</v>
      </c>
      <c r="G94" s="5" t="n">
        <v>96</v>
      </c>
      <c r="H94" s="10">
        <f>IF(E94&gt;0,G94/E94,"")</f>
        <v/>
      </c>
      <c r="I94" s="11">
        <f>IF(AND(F94&gt;0,G94&gt;0),F94/G94,"")</f>
        <v/>
      </c>
    </row>
    <row r="95">
      <c r="A95" s="4" t="inlineStr">
        <is>
          <t>204</t>
        </is>
      </c>
      <c r="B95" s="4" t="n">
        <v>2</v>
      </c>
      <c r="C95" s="4" t="inlineStr">
        <is>
          <t>mule deer</t>
        </is>
      </c>
      <c r="D95" s="4" t="n">
        <v>2021</v>
      </c>
      <c r="E95" s="5" t="n">
        <v>1092</v>
      </c>
      <c r="F95" s="5" t="n">
        <v>6666</v>
      </c>
      <c r="G95" s="5" t="n">
        <v>72</v>
      </c>
      <c r="H95" s="10">
        <f>IF(E95&gt;0,G95/E95,"")</f>
        <v/>
      </c>
      <c r="I95" s="11">
        <f>IF(AND(F95&gt;0,G95&gt;0),F95/G95,"")</f>
        <v/>
      </c>
    </row>
    <row r="96">
      <c r="A96" s="4" t="inlineStr">
        <is>
          <t>204</t>
        </is>
      </c>
      <c r="B96" s="4" t="n">
        <v>2</v>
      </c>
      <c r="C96" s="4" t="inlineStr">
        <is>
          <t>mule deer</t>
        </is>
      </c>
      <c r="D96" s="4" t="n">
        <v>2022</v>
      </c>
      <c r="E96" s="5" t="n"/>
      <c r="F96" s="5" t="n"/>
      <c r="G96" s="5" t="n">
        <v>95</v>
      </c>
      <c r="H96" s="10">
        <f>IF(E96&gt;0,G96/E96,"")</f>
        <v/>
      </c>
      <c r="I96" s="11">
        <f>IF(AND(F96&gt;0,G96&gt;0),F96/G96,"")</f>
        <v/>
      </c>
    </row>
    <row r="97">
      <c r="A97" s="4" t="inlineStr">
        <is>
          <t>204</t>
        </is>
      </c>
      <c r="B97" s="4" t="n">
        <v>2</v>
      </c>
      <c r="C97" s="4" t="inlineStr">
        <is>
          <t>mule deer</t>
        </is>
      </c>
      <c r="D97" s="4" t="n">
        <v>2023</v>
      </c>
      <c r="E97" s="5" t="n">
        <v>1491</v>
      </c>
      <c r="F97" s="5" t="n">
        <v>9948</v>
      </c>
      <c r="G97" s="5" t="n">
        <v>138</v>
      </c>
      <c r="H97" s="10">
        <f>IF(E97&gt;0,G97/E97,"")</f>
        <v/>
      </c>
      <c r="I97" s="11">
        <f>IF(AND(F97&gt;0,G97&gt;0),F97/G97,"")</f>
        <v/>
      </c>
    </row>
    <row r="98">
      <c r="A98" s="4" t="inlineStr">
        <is>
          <t>204</t>
        </is>
      </c>
      <c r="B98" s="4" t="n">
        <v>2</v>
      </c>
      <c r="C98" s="4" t="inlineStr">
        <is>
          <t>mule deer</t>
        </is>
      </c>
      <c r="D98" s="4" t="n">
        <v>2024</v>
      </c>
      <c r="E98" s="5" t="n"/>
      <c r="F98" s="5" t="n"/>
      <c r="G98" s="5" t="n">
        <v>67</v>
      </c>
      <c r="H98" s="10">
        <f>IF(E98&gt;0,G98/E98,"")</f>
        <v/>
      </c>
      <c r="I98" s="11">
        <f>IF(AND(F98&gt;0,G98&gt;0),F98/G98,"")</f>
        <v/>
      </c>
    </row>
    <row r="99">
      <c r="A99" s="4" t="inlineStr">
        <is>
          <t>204</t>
        </is>
      </c>
      <c r="B99" s="4" t="n">
        <v>2</v>
      </c>
      <c r="C99" s="4" t="inlineStr">
        <is>
          <t>mule deer</t>
        </is>
      </c>
      <c r="D99" s="4" t="n">
        <v>2025</v>
      </c>
      <c r="E99" s="5" t="n">
        <v>1386</v>
      </c>
      <c r="F99" s="5" t="n">
        <v>8644</v>
      </c>
      <c r="G99" s="5" t="n">
        <v>92</v>
      </c>
      <c r="H99" s="10">
        <f>IF(E99&gt;0,G99/E99,"")</f>
        <v/>
      </c>
      <c r="I99" s="11">
        <f>IF(AND(F99&gt;0,G99&gt;0),F99/G99,"")</f>
        <v/>
      </c>
    </row>
    <row r="100">
      <c r="A100" s="4" t="inlineStr">
        <is>
          <t>210</t>
        </is>
      </c>
      <c r="B100" s="4" t="n">
        <v>2</v>
      </c>
      <c r="C100" s="4" t="inlineStr">
        <is>
          <t>mule deer</t>
        </is>
      </c>
      <c r="D100" s="4" t="n">
        <v>2021</v>
      </c>
      <c r="E100" s="5" t="n">
        <v>870</v>
      </c>
      <c r="F100" s="5" t="n">
        <v>6185</v>
      </c>
      <c r="G100" s="5" t="n">
        <v>49</v>
      </c>
      <c r="H100" s="10">
        <f>IF(E100&gt;0,G100/E100,"")</f>
        <v/>
      </c>
      <c r="I100" s="11">
        <f>IF(AND(F100&gt;0,G100&gt;0),F100/G100,"")</f>
        <v/>
      </c>
    </row>
    <row r="101">
      <c r="A101" s="4" t="inlineStr">
        <is>
          <t>210</t>
        </is>
      </c>
      <c r="B101" s="4" t="n">
        <v>2</v>
      </c>
      <c r="C101" s="4" t="inlineStr">
        <is>
          <t>mule deer</t>
        </is>
      </c>
      <c r="D101" s="4" t="n">
        <v>2022</v>
      </c>
      <c r="E101" s="5" t="n"/>
      <c r="F101" s="5" t="n"/>
      <c r="G101" s="5" t="n">
        <v>57</v>
      </c>
      <c r="H101" s="10">
        <f>IF(E101&gt;0,G101/E101,"")</f>
        <v/>
      </c>
      <c r="I101" s="11">
        <f>IF(AND(F101&gt;0,G101&gt;0),F101/G101,"")</f>
        <v/>
      </c>
    </row>
    <row r="102">
      <c r="A102" s="4" t="inlineStr">
        <is>
          <t>210</t>
        </is>
      </c>
      <c r="B102" s="4" t="n">
        <v>2</v>
      </c>
      <c r="C102" s="4" t="inlineStr">
        <is>
          <t>mule deer</t>
        </is>
      </c>
      <c r="D102" s="4" t="n">
        <v>2023</v>
      </c>
      <c r="E102" s="5" t="n">
        <v>863</v>
      </c>
      <c r="F102" s="5" t="n">
        <v>4965</v>
      </c>
      <c r="G102" s="5" t="n">
        <v>67</v>
      </c>
      <c r="H102" s="10">
        <f>IF(E102&gt;0,G102/E102,"")</f>
        <v/>
      </c>
      <c r="I102" s="11">
        <f>IF(AND(F102&gt;0,G102&gt;0),F102/G102,"")</f>
        <v/>
      </c>
    </row>
    <row r="103">
      <c r="A103" s="4" t="inlineStr">
        <is>
          <t>210</t>
        </is>
      </c>
      <c r="B103" s="4" t="n">
        <v>2</v>
      </c>
      <c r="C103" s="4" t="inlineStr">
        <is>
          <t>mule deer</t>
        </is>
      </c>
      <c r="D103" s="4" t="n">
        <v>2024</v>
      </c>
      <c r="E103" s="5" t="n"/>
      <c r="F103" s="5" t="n"/>
      <c r="G103" s="5" t="n">
        <v>74</v>
      </c>
      <c r="H103" s="10">
        <f>IF(E103&gt;0,G103/E103,"")</f>
        <v/>
      </c>
      <c r="I103" s="11">
        <f>IF(AND(F103&gt;0,G103&gt;0),F103/G103,"")</f>
        <v/>
      </c>
    </row>
    <row r="104">
      <c r="A104" s="4" t="inlineStr">
        <is>
          <t>210</t>
        </is>
      </c>
      <c r="B104" s="4" t="n">
        <v>2</v>
      </c>
      <c r="C104" s="4" t="inlineStr">
        <is>
          <t>mule deer</t>
        </is>
      </c>
      <c r="D104" s="4" t="n">
        <v>2025</v>
      </c>
      <c r="E104" s="5" t="n">
        <v>875</v>
      </c>
      <c r="F104" s="5" t="n">
        <v>5787</v>
      </c>
      <c r="G104" s="5" t="n">
        <v>62</v>
      </c>
      <c r="H104" s="10">
        <f>IF(E104&gt;0,G104/E104,"")</f>
        <v/>
      </c>
      <c r="I104" s="11">
        <f>IF(AND(F104&gt;0,G104&gt;0),F104/G104,"")</f>
        <v/>
      </c>
    </row>
    <row r="105">
      <c r="A105" s="4" t="inlineStr">
        <is>
          <t>211</t>
        </is>
      </c>
      <c r="B105" s="4" t="n">
        <v>2</v>
      </c>
      <c r="C105" s="4" t="inlineStr">
        <is>
          <t>mule deer</t>
        </is>
      </c>
      <c r="D105" s="4" t="n">
        <v>2021</v>
      </c>
      <c r="E105" s="5" t="n">
        <v>433</v>
      </c>
      <c r="F105" s="5" t="n">
        <v>3571</v>
      </c>
      <c r="G105" s="5" t="n">
        <v>35</v>
      </c>
      <c r="H105" s="10">
        <f>IF(E105&gt;0,G105/E105,"")</f>
        <v/>
      </c>
      <c r="I105" s="11">
        <f>IF(AND(F105&gt;0,G105&gt;0),F105/G105,"")</f>
        <v/>
      </c>
    </row>
    <row r="106">
      <c r="A106" s="4" t="inlineStr">
        <is>
          <t>211</t>
        </is>
      </c>
      <c r="B106" s="4" t="n">
        <v>2</v>
      </c>
      <c r="C106" s="4" t="inlineStr">
        <is>
          <t>mule deer</t>
        </is>
      </c>
      <c r="D106" s="4" t="n">
        <v>2022</v>
      </c>
      <c r="E106" s="5" t="n"/>
      <c r="F106" s="5" t="n"/>
      <c r="G106" s="5" t="n">
        <v>31</v>
      </c>
      <c r="H106" s="10">
        <f>IF(E106&gt;0,G106/E106,"")</f>
        <v/>
      </c>
      <c r="I106" s="11">
        <f>IF(AND(F106&gt;0,G106&gt;0),F106/G106,"")</f>
        <v/>
      </c>
    </row>
    <row r="107">
      <c r="A107" s="4" t="inlineStr">
        <is>
          <t>211</t>
        </is>
      </c>
      <c r="B107" s="4" t="n">
        <v>2</v>
      </c>
      <c r="C107" s="4" t="inlineStr">
        <is>
          <t>mule deer</t>
        </is>
      </c>
      <c r="D107" s="4" t="n">
        <v>2023</v>
      </c>
      <c r="E107" s="5" t="n">
        <v>492</v>
      </c>
      <c r="F107" s="5" t="n">
        <v>3440</v>
      </c>
      <c r="G107" s="5" t="n">
        <v>40</v>
      </c>
      <c r="H107" s="10">
        <f>IF(E107&gt;0,G107/E107,"")</f>
        <v/>
      </c>
      <c r="I107" s="11">
        <f>IF(AND(F107&gt;0,G107&gt;0),F107/G107,"")</f>
        <v/>
      </c>
    </row>
    <row r="108">
      <c r="A108" s="4" t="inlineStr">
        <is>
          <t>211</t>
        </is>
      </c>
      <c r="B108" s="4" t="n">
        <v>2</v>
      </c>
      <c r="C108" s="4" t="inlineStr">
        <is>
          <t>mule deer</t>
        </is>
      </c>
      <c r="D108" s="4" t="n">
        <v>2024</v>
      </c>
      <c r="E108" s="5" t="n"/>
      <c r="F108" s="5" t="n"/>
      <c r="G108" s="5" t="n">
        <v>53</v>
      </c>
      <c r="H108" s="10">
        <f>IF(E108&gt;0,G108/E108,"")</f>
        <v/>
      </c>
      <c r="I108" s="11">
        <f>IF(AND(F108&gt;0,G108&gt;0),F108/G108,"")</f>
        <v/>
      </c>
    </row>
    <row r="109">
      <c r="A109" s="4" t="inlineStr">
        <is>
          <t>211</t>
        </is>
      </c>
      <c r="B109" s="4" t="n">
        <v>2</v>
      </c>
      <c r="C109" s="4" t="inlineStr">
        <is>
          <t>mule deer</t>
        </is>
      </c>
      <c r="D109" s="4" t="n">
        <v>2025</v>
      </c>
      <c r="E109" s="5" t="n">
        <v>566</v>
      </c>
      <c r="F109" s="5" t="n">
        <v>4532</v>
      </c>
      <c r="G109" s="5" t="n">
        <v>37</v>
      </c>
      <c r="H109" s="10">
        <f>IF(E109&gt;0,G109/E109,"")</f>
        <v/>
      </c>
      <c r="I109" s="11">
        <f>IF(AND(F109&gt;0,G109&gt;0),F109/G109,"")</f>
        <v/>
      </c>
    </row>
    <row r="110">
      <c r="A110" s="4" t="inlineStr">
        <is>
          <t>212</t>
        </is>
      </c>
      <c r="B110" s="4" t="n">
        <v>2</v>
      </c>
      <c r="C110" s="4" t="inlineStr">
        <is>
          <t>mule deer</t>
        </is>
      </c>
      <c r="D110" s="4" t="n">
        <v>2021</v>
      </c>
      <c r="E110" s="5" t="n">
        <v>341</v>
      </c>
      <c r="F110" s="5" t="n">
        <v>2413</v>
      </c>
      <c r="G110" s="5" t="n">
        <v>38</v>
      </c>
      <c r="H110" s="10">
        <f>IF(E110&gt;0,G110/E110,"")</f>
        <v/>
      </c>
      <c r="I110" s="11">
        <f>IF(AND(F110&gt;0,G110&gt;0),F110/G110,"")</f>
        <v/>
      </c>
    </row>
    <row r="111">
      <c r="A111" s="4" t="inlineStr">
        <is>
          <t>212</t>
        </is>
      </c>
      <c r="B111" s="4" t="n">
        <v>2</v>
      </c>
      <c r="C111" s="4" t="inlineStr">
        <is>
          <t>mule deer</t>
        </is>
      </c>
      <c r="D111" s="4" t="n">
        <v>2022</v>
      </c>
      <c r="E111" s="5" t="n"/>
      <c r="F111" s="5" t="n"/>
      <c r="G111" s="5" t="n">
        <v>49</v>
      </c>
      <c r="H111" s="10">
        <f>IF(E111&gt;0,G111/E111,"")</f>
        <v/>
      </c>
      <c r="I111" s="11">
        <f>IF(AND(F111&gt;0,G111&gt;0),F111/G111,"")</f>
        <v/>
      </c>
    </row>
    <row r="112">
      <c r="A112" s="4" t="inlineStr">
        <is>
          <t>212</t>
        </is>
      </c>
      <c r="B112" s="4" t="n">
        <v>2</v>
      </c>
      <c r="C112" s="4" t="inlineStr">
        <is>
          <t>mule deer</t>
        </is>
      </c>
      <c r="D112" s="4" t="n">
        <v>2023</v>
      </c>
      <c r="E112" s="5" t="n">
        <v>311</v>
      </c>
      <c r="F112" s="5" t="n">
        <v>1821</v>
      </c>
      <c r="G112" s="5" t="n">
        <v>43</v>
      </c>
      <c r="H112" s="10">
        <f>IF(E112&gt;0,G112/E112,"")</f>
        <v/>
      </c>
      <c r="I112" s="11">
        <f>IF(AND(F112&gt;0,G112&gt;0),F112/G112,"")</f>
        <v/>
      </c>
    </row>
    <row r="113">
      <c r="A113" s="4" t="inlineStr">
        <is>
          <t>212</t>
        </is>
      </c>
      <c r="B113" s="4" t="n">
        <v>2</v>
      </c>
      <c r="C113" s="4" t="inlineStr">
        <is>
          <t>mule deer</t>
        </is>
      </c>
      <c r="D113" s="4" t="n">
        <v>2024</v>
      </c>
      <c r="E113" s="5" t="n"/>
      <c r="F113" s="5" t="n"/>
      <c r="G113" s="5" t="n">
        <v>62</v>
      </c>
      <c r="H113" s="10">
        <f>IF(E113&gt;0,G113/E113,"")</f>
        <v/>
      </c>
      <c r="I113" s="11">
        <f>IF(AND(F113&gt;0,G113&gt;0),F113/G113,"")</f>
        <v/>
      </c>
    </row>
    <row r="114">
      <c r="A114" s="4" t="inlineStr">
        <is>
          <t>212</t>
        </is>
      </c>
      <c r="B114" s="4" t="n">
        <v>2</v>
      </c>
      <c r="C114" s="4" t="inlineStr">
        <is>
          <t>mule deer</t>
        </is>
      </c>
      <c r="D114" s="4" t="n">
        <v>2025</v>
      </c>
      <c r="E114" s="5" t="n">
        <v>481</v>
      </c>
      <c r="F114" s="5" t="n">
        <v>3559</v>
      </c>
      <c r="G114" s="5" t="n">
        <v>79</v>
      </c>
      <c r="H114" s="10">
        <f>IF(E114&gt;0,G114/E114,"")</f>
        <v/>
      </c>
      <c r="I114" s="11">
        <f>IF(AND(F114&gt;0,G114&gt;0),F114/G114,"")</f>
        <v/>
      </c>
    </row>
    <row r="115">
      <c r="A115" s="4" t="inlineStr">
        <is>
          <t>213</t>
        </is>
      </c>
      <c r="B115" s="4" t="n">
        <v>2</v>
      </c>
      <c r="C115" s="4" t="inlineStr">
        <is>
          <t>mule deer</t>
        </is>
      </c>
      <c r="D115" s="4" t="n">
        <v>2021</v>
      </c>
      <c r="E115" s="5" t="n">
        <v>872</v>
      </c>
      <c r="F115" s="5" t="n">
        <v>7684</v>
      </c>
      <c r="G115" s="5" t="n">
        <v>104</v>
      </c>
      <c r="H115" s="10">
        <f>IF(E115&gt;0,G115/E115,"")</f>
        <v/>
      </c>
      <c r="I115" s="11">
        <f>IF(AND(F115&gt;0,G115&gt;0),F115/G115,"")</f>
        <v/>
      </c>
    </row>
    <row r="116">
      <c r="A116" s="4" t="inlineStr">
        <is>
          <t>213</t>
        </is>
      </c>
      <c r="B116" s="4" t="n">
        <v>2</v>
      </c>
      <c r="C116" s="4" t="inlineStr">
        <is>
          <t>mule deer</t>
        </is>
      </c>
      <c r="D116" s="4" t="n">
        <v>2022</v>
      </c>
      <c r="E116" s="5" t="n"/>
      <c r="F116" s="5" t="n"/>
      <c r="G116" s="5" t="n">
        <v>129</v>
      </c>
      <c r="H116" s="10">
        <f>IF(E116&gt;0,G116/E116,"")</f>
        <v/>
      </c>
      <c r="I116" s="11">
        <f>IF(AND(F116&gt;0,G116&gt;0),F116/G116,"")</f>
        <v/>
      </c>
    </row>
    <row r="117">
      <c r="A117" s="4" t="inlineStr">
        <is>
          <t>213</t>
        </is>
      </c>
      <c r="B117" s="4" t="n">
        <v>2</v>
      </c>
      <c r="C117" s="4" t="inlineStr">
        <is>
          <t>mule deer</t>
        </is>
      </c>
      <c r="D117" s="4" t="n">
        <v>2023</v>
      </c>
      <c r="E117" s="5" t="n">
        <v>1105</v>
      </c>
      <c r="F117" s="5" t="n">
        <v>9534</v>
      </c>
      <c r="G117" s="5" t="n">
        <v>145</v>
      </c>
      <c r="H117" s="10">
        <f>IF(E117&gt;0,G117/E117,"")</f>
        <v/>
      </c>
      <c r="I117" s="11">
        <f>IF(AND(F117&gt;0,G117&gt;0),F117/G117,"")</f>
        <v/>
      </c>
    </row>
    <row r="118">
      <c r="A118" s="4" t="inlineStr">
        <is>
          <t>213</t>
        </is>
      </c>
      <c r="B118" s="4" t="n">
        <v>2</v>
      </c>
      <c r="C118" s="4" t="inlineStr">
        <is>
          <t>mule deer</t>
        </is>
      </c>
      <c r="D118" s="4" t="n">
        <v>2024</v>
      </c>
      <c r="E118" s="5" t="n"/>
      <c r="F118" s="5" t="n"/>
      <c r="G118" s="5" t="n">
        <v>180</v>
      </c>
      <c r="H118" s="10">
        <f>IF(E118&gt;0,G118/E118,"")</f>
        <v/>
      </c>
      <c r="I118" s="11">
        <f>IF(AND(F118&gt;0,G118&gt;0),F118/G118,"")</f>
        <v/>
      </c>
    </row>
    <row r="119">
      <c r="A119" s="4" t="inlineStr">
        <is>
          <t>213</t>
        </is>
      </c>
      <c r="B119" s="4" t="n">
        <v>2</v>
      </c>
      <c r="C119" s="4" t="inlineStr">
        <is>
          <t>mule deer</t>
        </is>
      </c>
      <c r="D119" s="4" t="n">
        <v>2025</v>
      </c>
      <c r="E119" s="5" t="n">
        <v>1178</v>
      </c>
      <c r="F119" s="5" t="n">
        <v>9366</v>
      </c>
      <c r="G119" s="5" t="n">
        <v>199</v>
      </c>
      <c r="H119" s="10">
        <f>IF(E119&gt;0,G119/E119,"")</f>
        <v/>
      </c>
      <c r="I119" s="11">
        <f>IF(AND(F119&gt;0,G119&gt;0),F119/G119,"")</f>
        <v/>
      </c>
    </row>
    <row r="120">
      <c r="A120" s="4" t="inlineStr">
        <is>
          <t>214</t>
        </is>
      </c>
      <c r="B120" s="4" t="n">
        <v>2</v>
      </c>
      <c r="C120" s="4" t="inlineStr">
        <is>
          <t>mule deer</t>
        </is>
      </c>
      <c r="D120" s="4" t="n">
        <v>2021</v>
      </c>
      <c r="E120" s="5" t="n">
        <v>149</v>
      </c>
      <c r="F120" s="5" t="n">
        <v>1200</v>
      </c>
      <c r="G120" s="5" t="n">
        <v>16</v>
      </c>
      <c r="H120" s="10">
        <f>IF(E120&gt;0,G120/E120,"")</f>
        <v/>
      </c>
      <c r="I120" s="11">
        <f>IF(AND(F120&gt;0,G120&gt;0),F120/G120,"")</f>
        <v/>
      </c>
    </row>
    <row r="121">
      <c r="A121" s="4" t="inlineStr">
        <is>
          <t>214</t>
        </is>
      </c>
      <c r="B121" s="4" t="n">
        <v>2</v>
      </c>
      <c r="C121" s="4" t="inlineStr">
        <is>
          <t>mule deer</t>
        </is>
      </c>
      <c r="D121" s="4" t="n">
        <v>2022</v>
      </c>
      <c r="E121" s="5" t="n"/>
      <c r="F121" s="5" t="n"/>
      <c r="G121" s="5" t="n">
        <v>20</v>
      </c>
      <c r="H121" s="10">
        <f>IF(E121&gt;0,G121/E121,"")</f>
        <v/>
      </c>
      <c r="I121" s="11">
        <f>IF(AND(F121&gt;0,G121&gt;0),F121/G121,"")</f>
        <v/>
      </c>
    </row>
    <row r="122">
      <c r="A122" s="4" t="inlineStr">
        <is>
          <t>214</t>
        </is>
      </c>
      <c r="B122" s="4" t="n">
        <v>2</v>
      </c>
      <c r="C122" s="4" t="inlineStr">
        <is>
          <t>mule deer</t>
        </is>
      </c>
      <c r="D122" s="4" t="n">
        <v>2023</v>
      </c>
      <c r="E122" s="5" t="n">
        <v>334</v>
      </c>
      <c r="F122" s="5" t="n">
        <v>2362</v>
      </c>
      <c r="G122" s="5" t="n">
        <v>27</v>
      </c>
      <c r="H122" s="10">
        <f>IF(E122&gt;0,G122/E122,"")</f>
        <v/>
      </c>
      <c r="I122" s="11">
        <f>IF(AND(F122&gt;0,G122&gt;0),F122/G122,"")</f>
        <v/>
      </c>
    </row>
    <row r="123">
      <c r="A123" s="4" t="inlineStr">
        <is>
          <t>214</t>
        </is>
      </c>
      <c r="B123" s="4" t="n">
        <v>2</v>
      </c>
      <c r="C123" s="4" t="inlineStr">
        <is>
          <t>mule deer</t>
        </is>
      </c>
      <c r="D123" s="4" t="n">
        <v>2024</v>
      </c>
      <c r="E123" s="5" t="n"/>
      <c r="F123" s="5" t="n"/>
      <c r="G123" s="5" t="n">
        <v>45</v>
      </c>
      <c r="H123" s="10">
        <f>IF(E123&gt;0,G123/E123,"")</f>
        <v/>
      </c>
      <c r="I123" s="11">
        <f>IF(AND(F123&gt;0,G123&gt;0),F123/G123,"")</f>
        <v/>
      </c>
    </row>
    <row r="124">
      <c r="A124" s="4" t="inlineStr">
        <is>
          <t>214</t>
        </is>
      </c>
      <c r="B124" s="4" t="n">
        <v>2</v>
      </c>
      <c r="C124" s="4" t="inlineStr">
        <is>
          <t>mule deer</t>
        </is>
      </c>
      <c r="D124" s="4" t="n">
        <v>2025</v>
      </c>
      <c r="E124" s="5" t="n">
        <v>360</v>
      </c>
      <c r="F124" s="5" t="n">
        <v>2384</v>
      </c>
      <c r="G124" s="5" t="n">
        <v>14</v>
      </c>
      <c r="H124" s="10">
        <f>IF(E124&gt;0,G124/E124,"")</f>
        <v/>
      </c>
      <c r="I124" s="11">
        <f>IF(AND(F124&gt;0,G124&gt;0),F124/G124,"")</f>
        <v/>
      </c>
    </row>
    <row r="125">
      <c r="A125" s="4" t="inlineStr">
        <is>
          <t>215</t>
        </is>
      </c>
      <c r="B125" s="4" t="n">
        <v>2</v>
      </c>
      <c r="C125" s="4" t="inlineStr">
        <is>
          <t>mule deer</t>
        </is>
      </c>
      <c r="D125" s="4" t="n">
        <v>2021</v>
      </c>
      <c r="E125" s="5" t="n">
        <v>1080</v>
      </c>
      <c r="F125" s="5" t="n">
        <v>8083</v>
      </c>
      <c r="G125" s="5" t="n">
        <v>86</v>
      </c>
      <c r="H125" s="10">
        <f>IF(E125&gt;0,G125/E125,"")</f>
        <v/>
      </c>
      <c r="I125" s="11">
        <f>IF(AND(F125&gt;0,G125&gt;0),F125/G125,"")</f>
        <v/>
      </c>
    </row>
    <row r="126">
      <c r="A126" s="4" t="inlineStr">
        <is>
          <t>215</t>
        </is>
      </c>
      <c r="B126" s="4" t="n">
        <v>2</v>
      </c>
      <c r="C126" s="4" t="inlineStr">
        <is>
          <t>mule deer</t>
        </is>
      </c>
      <c r="D126" s="4" t="n">
        <v>2022</v>
      </c>
      <c r="E126" s="5" t="n"/>
      <c r="F126" s="5" t="n"/>
      <c r="G126" s="5" t="n">
        <v>150</v>
      </c>
      <c r="H126" s="10">
        <f>IF(E126&gt;0,G126/E126,"")</f>
        <v/>
      </c>
      <c r="I126" s="11">
        <f>IF(AND(F126&gt;0,G126&gt;0),F126/G126,"")</f>
        <v/>
      </c>
    </row>
    <row r="127">
      <c r="A127" s="4" t="inlineStr">
        <is>
          <t>215</t>
        </is>
      </c>
      <c r="B127" s="4" t="n">
        <v>2</v>
      </c>
      <c r="C127" s="4" t="inlineStr">
        <is>
          <t>mule deer</t>
        </is>
      </c>
      <c r="D127" s="4" t="n">
        <v>2023</v>
      </c>
      <c r="E127" s="5" t="n">
        <v>1324</v>
      </c>
      <c r="F127" s="5" t="n">
        <v>10409</v>
      </c>
      <c r="G127" s="5" t="n">
        <v>140</v>
      </c>
      <c r="H127" s="10">
        <f>IF(E127&gt;0,G127/E127,"")</f>
        <v/>
      </c>
      <c r="I127" s="11">
        <f>IF(AND(F127&gt;0,G127&gt;0),F127/G127,"")</f>
        <v/>
      </c>
    </row>
    <row r="128">
      <c r="A128" s="4" t="inlineStr">
        <is>
          <t>215</t>
        </is>
      </c>
      <c r="B128" s="4" t="n">
        <v>2</v>
      </c>
      <c r="C128" s="4" t="inlineStr">
        <is>
          <t>mule deer</t>
        </is>
      </c>
      <c r="D128" s="4" t="n">
        <v>2024</v>
      </c>
      <c r="E128" s="5" t="n"/>
      <c r="F128" s="5" t="n"/>
      <c r="G128" s="5" t="n">
        <v>188</v>
      </c>
      <c r="H128" s="10">
        <f>IF(E128&gt;0,G128/E128,"")</f>
        <v/>
      </c>
      <c r="I128" s="11">
        <f>IF(AND(F128&gt;0,G128&gt;0),F128/G128,"")</f>
        <v/>
      </c>
    </row>
    <row r="129">
      <c r="A129" s="4" t="inlineStr">
        <is>
          <t>215</t>
        </is>
      </c>
      <c r="B129" s="4" t="n">
        <v>2</v>
      </c>
      <c r="C129" s="4" t="inlineStr">
        <is>
          <t>mule deer</t>
        </is>
      </c>
      <c r="D129" s="4" t="n">
        <v>2025</v>
      </c>
      <c r="E129" s="5" t="n">
        <v>1406</v>
      </c>
      <c r="F129" s="5" t="n">
        <v>10882</v>
      </c>
      <c r="G129" s="5" t="n">
        <v>161</v>
      </c>
      <c r="H129" s="10">
        <f>IF(E129&gt;0,G129/E129,"")</f>
        <v/>
      </c>
      <c r="I129" s="11">
        <f>IF(AND(F129&gt;0,G129&gt;0),F129/G129,"")</f>
        <v/>
      </c>
    </row>
    <row r="130">
      <c r="A130" s="4" t="inlineStr">
        <is>
          <t>216</t>
        </is>
      </c>
      <c r="B130" s="4" t="n">
        <v>2</v>
      </c>
      <c r="C130" s="4" t="inlineStr">
        <is>
          <t>mule deer</t>
        </is>
      </c>
      <c r="D130" s="4" t="n">
        <v>2021</v>
      </c>
      <c r="E130" s="5" t="n">
        <v>415</v>
      </c>
      <c r="F130" s="5" t="n">
        <v>2786</v>
      </c>
      <c r="G130" s="5" t="n">
        <v>55</v>
      </c>
      <c r="H130" s="10">
        <f>IF(E130&gt;0,G130/E130,"")</f>
        <v/>
      </c>
      <c r="I130" s="11">
        <f>IF(AND(F130&gt;0,G130&gt;0),F130/G130,"")</f>
        <v/>
      </c>
    </row>
    <row r="131">
      <c r="A131" s="4" t="inlineStr">
        <is>
          <t>216</t>
        </is>
      </c>
      <c r="B131" s="4" t="n">
        <v>2</v>
      </c>
      <c r="C131" s="4" t="inlineStr">
        <is>
          <t>mule deer</t>
        </is>
      </c>
      <c r="D131" s="4" t="n">
        <v>2022</v>
      </c>
      <c r="E131" s="5" t="n"/>
      <c r="F131" s="5" t="n"/>
      <c r="G131" s="5" t="n">
        <v>74</v>
      </c>
      <c r="H131" s="10">
        <f>IF(E131&gt;0,G131/E131,"")</f>
        <v/>
      </c>
      <c r="I131" s="11">
        <f>IF(AND(F131&gt;0,G131&gt;0),F131/G131,"")</f>
        <v/>
      </c>
    </row>
    <row r="132">
      <c r="A132" s="4" t="inlineStr">
        <is>
          <t>216</t>
        </is>
      </c>
      <c r="B132" s="4" t="n">
        <v>2</v>
      </c>
      <c r="C132" s="4" t="inlineStr">
        <is>
          <t>mule deer</t>
        </is>
      </c>
      <c r="D132" s="4" t="n">
        <v>2023</v>
      </c>
      <c r="E132" s="5" t="n">
        <v>476</v>
      </c>
      <c r="F132" s="5" t="n">
        <v>2669</v>
      </c>
      <c r="G132" s="5" t="n">
        <v>72</v>
      </c>
      <c r="H132" s="10">
        <f>IF(E132&gt;0,G132/E132,"")</f>
        <v/>
      </c>
      <c r="I132" s="11">
        <f>IF(AND(F132&gt;0,G132&gt;0),F132/G132,"")</f>
        <v/>
      </c>
    </row>
    <row r="133">
      <c r="A133" s="4" t="inlineStr">
        <is>
          <t>216</t>
        </is>
      </c>
      <c r="B133" s="4" t="n">
        <v>2</v>
      </c>
      <c r="C133" s="4" t="inlineStr">
        <is>
          <t>mule deer</t>
        </is>
      </c>
      <c r="D133" s="4" t="n">
        <v>2024</v>
      </c>
      <c r="E133" s="5" t="n"/>
      <c r="F133" s="5" t="n"/>
      <c r="G133" s="5" t="n">
        <v>75</v>
      </c>
      <c r="H133" s="10">
        <f>IF(E133&gt;0,G133/E133,"")</f>
        <v/>
      </c>
      <c r="I133" s="11">
        <f>IF(AND(F133&gt;0,G133&gt;0),F133/G133,"")</f>
        <v/>
      </c>
    </row>
    <row r="134">
      <c r="A134" s="4" t="inlineStr">
        <is>
          <t>216</t>
        </is>
      </c>
      <c r="B134" s="4" t="n">
        <v>2</v>
      </c>
      <c r="C134" s="4" t="inlineStr">
        <is>
          <t>mule deer</t>
        </is>
      </c>
      <c r="D134" s="4" t="n">
        <v>2025</v>
      </c>
      <c r="E134" s="5" t="n">
        <v>500</v>
      </c>
      <c r="F134" s="5" t="n">
        <v>3705</v>
      </c>
      <c r="G134" s="5" t="n">
        <v>90</v>
      </c>
      <c r="H134" s="10">
        <f>IF(E134&gt;0,G134/E134,"")</f>
        <v/>
      </c>
      <c r="I134" s="11">
        <f>IF(AND(F134&gt;0,G134&gt;0),F134/G134,"")</f>
        <v/>
      </c>
    </row>
    <row r="135">
      <c r="A135" s="4" t="inlineStr">
        <is>
          <t>217</t>
        </is>
      </c>
      <c r="B135" s="4" t="n">
        <v>2</v>
      </c>
      <c r="C135" s="4" t="inlineStr">
        <is>
          <t>mule deer</t>
        </is>
      </c>
      <c r="D135" s="4" t="n">
        <v>2021</v>
      </c>
      <c r="E135" s="5" t="n">
        <v>401</v>
      </c>
      <c r="F135" s="5" t="n">
        <v>2834</v>
      </c>
      <c r="G135" s="5" t="n">
        <v>44</v>
      </c>
      <c r="H135" s="10">
        <f>IF(E135&gt;0,G135/E135,"")</f>
        <v/>
      </c>
      <c r="I135" s="11">
        <f>IF(AND(F135&gt;0,G135&gt;0),F135/G135,"")</f>
        <v/>
      </c>
    </row>
    <row r="136">
      <c r="A136" s="4" t="inlineStr">
        <is>
          <t>217</t>
        </is>
      </c>
      <c r="B136" s="4" t="n">
        <v>2</v>
      </c>
      <c r="C136" s="4" t="inlineStr">
        <is>
          <t>mule deer</t>
        </is>
      </c>
      <c r="D136" s="4" t="n">
        <v>2022</v>
      </c>
      <c r="E136" s="5" t="n"/>
      <c r="F136" s="5" t="n"/>
      <c r="G136" s="5" t="n">
        <v>40</v>
      </c>
      <c r="H136" s="10">
        <f>IF(E136&gt;0,G136/E136,"")</f>
        <v/>
      </c>
      <c r="I136" s="11">
        <f>IF(AND(F136&gt;0,G136&gt;0),F136/G136,"")</f>
        <v/>
      </c>
    </row>
    <row r="137">
      <c r="A137" s="4" t="inlineStr">
        <is>
          <t>217</t>
        </is>
      </c>
      <c r="B137" s="4" t="n">
        <v>2</v>
      </c>
      <c r="C137" s="4" t="inlineStr">
        <is>
          <t>mule deer</t>
        </is>
      </c>
      <c r="D137" s="4" t="n">
        <v>2023</v>
      </c>
      <c r="E137" s="5" t="n">
        <v>508</v>
      </c>
      <c r="F137" s="5" t="n">
        <v>3229</v>
      </c>
      <c r="G137" s="5" t="n">
        <v>32</v>
      </c>
      <c r="H137" s="10">
        <f>IF(E137&gt;0,G137/E137,"")</f>
        <v/>
      </c>
      <c r="I137" s="11">
        <f>IF(AND(F137&gt;0,G137&gt;0),F137/G137,"")</f>
        <v/>
      </c>
    </row>
    <row r="138">
      <c r="A138" s="4" t="inlineStr">
        <is>
          <t>217</t>
        </is>
      </c>
      <c r="B138" s="4" t="n">
        <v>2</v>
      </c>
      <c r="C138" s="4" t="inlineStr">
        <is>
          <t>mule deer</t>
        </is>
      </c>
      <c r="D138" s="4" t="n">
        <v>2024</v>
      </c>
      <c r="E138" s="5" t="n"/>
      <c r="F138" s="5" t="n"/>
      <c r="G138" s="5" t="n">
        <v>44</v>
      </c>
      <c r="H138" s="10">
        <f>IF(E138&gt;0,G138/E138,"")</f>
        <v/>
      </c>
      <c r="I138" s="11">
        <f>IF(AND(F138&gt;0,G138&gt;0),F138/G138,"")</f>
        <v/>
      </c>
    </row>
    <row r="139">
      <c r="A139" s="4" t="inlineStr">
        <is>
          <t>217</t>
        </is>
      </c>
      <c r="B139" s="4" t="n">
        <v>2</v>
      </c>
      <c r="C139" s="4" t="inlineStr">
        <is>
          <t>mule deer</t>
        </is>
      </c>
      <c r="D139" s="4" t="n">
        <v>2025</v>
      </c>
      <c r="E139" s="5" t="n">
        <v>486</v>
      </c>
      <c r="F139" s="5" t="n">
        <v>3268</v>
      </c>
      <c r="G139" s="5" t="n">
        <v>52</v>
      </c>
      <c r="H139" s="10">
        <f>IF(E139&gt;0,G139/E139,"")</f>
        <v/>
      </c>
      <c r="I139" s="11">
        <f>IF(AND(F139&gt;0,G139&gt;0),F139/G139,"")</f>
        <v/>
      </c>
    </row>
    <row r="140">
      <c r="A140" s="4" t="inlineStr">
        <is>
          <t>240</t>
        </is>
      </c>
      <c r="B140" s="4" t="n">
        <v>2</v>
      </c>
      <c r="C140" s="4" t="inlineStr">
        <is>
          <t>mule deer</t>
        </is>
      </c>
      <c r="D140" s="4" t="n">
        <v>2021</v>
      </c>
      <c r="E140" s="5" t="n">
        <v>1993</v>
      </c>
      <c r="F140" s="5" t="n">
        <v>12889</v>
      </c>
      <c r="G140" s="5" t="n">
        <v>114</v>
      </c>
      <c r="H140" s="10">
        <f>IF(E140&gt;0,G140/E140,"")</f>
        <v/>
      </c>
      <c r="I140" s="11">
        <f>IF(AND(F140&gt;0,G140&gt;0),F140/G140,"")</f>
        <v/>
      </c>
    </row>
    <row r="141">
      <c r="A141" s="4" t="inlineStr">
        <is>
          <t>240</t>
        </is>
      </c>
      <c r="B141" s="4" t="n">
        <v>2</v>
      </c>
      <c r="C141" s="4" t="inlineStr">
        <is>
          <t>mule deer</t>
        </is>
      </c>
      <c r="D141" s="4" t="n">
        <v>2022</v>
      </c>
      <c r="E141" s="5" t="n"/>
      <c r="F141" s="5" t="n"/>
      <c r="G141" s="5" t="n">
        <v>108</v>
      </c>
      <c r="H141" s="10">
        <f>IF(E141&gt;0,G141/E141,"")</f>
        <v/>
      </c>
      <c r="I141" s="11">
        <f>IF(AND(F141&gt;0,G141&gt;0),F141/G141,"")</f>
        <v/>
      </c>
    </row>
    <row r="142">
      <c r="A142" s="4" t="inlineStr">
        <is>
          <t>240</t>
        </is>
      </c>
      <c r="B142" s="4" t="n">
        <v>2</v>
      </c>
      <c r="C142" s="4" t="inlineStr">
        <is>
          <t>mule deer</t>
        </is>
      </c>
      <c r="D142" s="4" t="n">
        <v>2023</v>
      </c>
      <c r="E142" s="5" t="n">
        <v>2226</v>
      </c>
      <c r="F142" s="5" t="n">
        <v>15797</v>
      </c>
      <c r="G142" s="5" t="n">
        <v>114</v>
      </c>
      <c r="H142" s="10">
        <f>IF(E142&gt;0,G142/E142,"")</f>
        <v/>
      </c>
      <c r="I142" s="11">
        <f>IF(AND(F142&gt;0,G142&gt;0),F142/G142,"")</f>
        <v/>
      </c>
    </row>
    <row r="143">
      <c r="A143" s="4" t="inlineStr">
        <is>
          <t>240</t>
        </is>
      </c>
      <c r="B143" s="4" t="n">
        <v>2</v>
      </c>
      <c r="C143" s="4" t="inlineStr">
        <is>
          <t>mule deer</t>
        </is>
      </c>
      <c r="D143" s="4" t="n">
        <v>2024</v>
      </c>
      <c r="E143" s="5" t="n"/>
      <c r="F143" s="5" t="n"/>
      <c r="G143" s="5" t="n">
        <v>132</v>
      </c>
      <c r="H143" s="10">
        <f>IF(E143&gt;0,G143/E143,"")</f>
        <v/>
      </c>
      <c r="I143" s="11">
        <f>IF(AND(F143&gt;0,G143&gt;0),F143/G143,"")</f>
        <v/>
      </c>
    </row>
    <row r="144">
      <c r="A144" s="4" t="inlineStr">
        <is>
          <t>240</t>
        </is>
      </c>
      <c r="B144" s="4" t="n">
        <v>2</v>
      </c>
      <c r="C144" s="4" t="inlineStr">
        <is>
          <t>mule deer</t>
        </is>
      </c>
      <c r="D144" s="4" t="n">
        <v>2025</v>
      </c>
      <c r="E144" s="5" t="n">
        <v>2009</v>
      </c>
      <c r="F144" s="5" t="n">
        <v>13438</v>
      </c>
      <c r="G144" s="5" t="n">
        <v>135</v>
      </c>
      <c r="H144" s="10">
        <f>IF(E144&gt;0,G144/E144,"")</f>
        <v/>
      </c>
      <c r="I144" s="11">
        <f>IF(AND(F144&gt;0,G144&gt;0),F144/G144,"")</f>
        <v/>
      </c>
    </row>
    <row r="145">
      <c r="A145" s="4" t="inlineStr">
        <is>
          <t>250</t>
        </is>
      </c>
      <c r="B145" s="4" t="n">
        <v>2</v>
      </c>
      <c r="C145" s="4" t="inlineStr">
        <is>
          <t>mule deer</t>
        </is>
      </c>
      <c r="D145" s="4" t="n">
        <v>2021</v>
      </c>
      <c r="E145" s="5" t="n">
        <v>328</v>
      </c>
      <c r="F145" s="5" t="n">
        <v>2089</v>
      </c>
      <c r="G145" s="5" t="n">
        <v>17</v>
      </c>
      <c r="H145" s="10">
        <f>IF(E145&gt;0,G145/E145,"")</f>
        <v/>
      </c>
      <c r="I145" s="11">
        <f>IF(AND(F145&gt;0,G145&gt;0),F145/G145,"")</f>
        <v/>
      </c>
    </row>
    <row r="146">
      <c r="A146" s="4" t="inlineStr">
        <is>
          <t>250</t>
        </is>
      </c>
      <c r="B146" s="4" t="n">
        <v>2</v>
      </c>
      <c r="C146" s="4" t="inlineStr">
        <is>
          <t>mule deer</t>
        </is>
      </c>
      <c r="D146" s="4" t="n">
        <v>2022</v>
      </c>
      <c r="E146" s="5" t="n"/>
      <c r="F146" s="5" t="n"/>
      <c r="G146" s="5" t="n">
        <v>22</v>
      </c>
      <c r="H146" s="10">
        <f>IF(E146&gt;0,G146/E146,"")</f>
        <v/>
      </c>
      <c r="I146" s="11">
        <f>IF(AND(F146&gt;0,G146&gt;0),F146/G146,"")</f>
        <v/>
      </c>
    </row>
    <row r="147">
      <c r="A147" s="4" t="inlineStr">
        <is>
          <t>250</t>
        </is>
      </c>
      <c r="B147" s="4" t="n">
        <v>2</v>
      </c>
      <c r="C147" s="4" t="inlineStr">
        <is>
          <t>mule deer</t>
        </is>
      </c>
      <c r="D147" s="4" t="n">
        <v>2023</v>
      </c>
      <c r="E147" s="5" t="n">
        <v>421</v>
      </c>
      <c r="F147" s="5" t="n">
        <v>2640</v>
      </c>
      <c r="G147" s="5" t="n">
        <v>23</v>
      </c>
      <c r="H147" s="10">
        <f>IF(E147&gt;0,G147/E147,"")</f>
        <v/>
      </c>
      <c r="I147" s="11">
        <f>IF(AND(F147&gt;0,G147&gt;0),F147/G147,"")</f>
        <v/>
      </c>
    </row>
    <row r="148">
      <c r="A148" s="4" t="inlineStr">
        <is>
          <t>250</t>
        </is>
      </c>
      <c r="B148" s="4" t="n">
        <v>2</v>
      </c>
      <c r="C148" s="4" t="inlineStr">
        <is>
          <t>mule deer</t>
        </is>
      </c>
      <c r="D148" s="4" t="n">
        <v>2024</v>
      </c>
      <c r="E148" s="5" t="n"/>
      <c r="F148" s="5" t="n"/>
      <c r="G148" s="5" t="n">
        <v>17</v>
      </c>
      <c r="H148" s="10">
        <f>IF(E148&gt;0,G148/E148,"")</f>
        <v/>
      </c>
      <c r="I148" s="11">
        <f>IF(AND(F148&gt;0,G148&gt;0),F148/G148,"")</f>
        <v/>
      </c>
    </row>
    <row r="149">
      <c r="A149" s="4" t="inlineStr">
        <is>
          <t>250</t>
        </is>
      </c>
      <c r="B149" s="4" t="n">
        <v>2</v>
      </c>
      <c r="C149" s="4" t="inlineStr">
        <is>
          <t>mule deer</t>
        </is>
      </c>
      <c r="D149" s="4" t="n">
        <v>2025</v>
      </c>
      <c r="E149" s="5" t="n">
        <v>449</v>
      </c>
      <c r="F149" s="5" t="n">
        <v>3207</v>
      </c>
      <c r="G149" s="5" t="n">
        <v>18</v>
      </c>
      <c r="H149" s="10">
        <f>IF(E149&gt;0,G149/E149,"")</f>
        <v/>
      </c>
      <c r="I149" s="11">
        <f>IF(AND(F149&gt;0,G149&gt;0),F149/G149,"")</f>
        <v/>
      </c>
    </row>
    <row r="150">
      <c r="A150" s="4" t="inlineStr">
        <is>
          <t>260</t>
        </is>
      </c>
      <c r="B150" s="4" t="n">
        <v>2</v>
      </c>
      <c r="C150" s="4" t="inlineStr">
        <is>
          <t>mule deer</t>
        </is>
      </c>
      <c r="D150" s="4" t="n">
        <v>2021</v>
      </c>
      <c r="E150" s="5" t="n">
        <v>1014</v>
      </c>
      <c r="F150" s="5" t="n">
        <v>8062</v>
      </c>
      <c r="G150" s="5" t="n">
        <v>33</v>
      </c>
      <c r="H150" s="10">
        <f>IF(E150&gt;0,G150/E150,"")</f>
        <v/>
      </c>
      <c r="I150" s="11">
        <f>IF(AND(F150&gt;0,G150&gt;0),F150/G150,"")</f>
        <v/>
      </c>
    </row>
    <row r="151">
      <c r="A151" s="4" t="inlineStr">
        <is>
          <t>260</t>
        </is>
      </c>
      <c r="B151" s="4" t="n">
        <v>2</v>
      </c>
      <c r="C151" s="4" t="inlineStr">
        <is>
          <t>mule deer</t>
        </is>
      </c>
      <c r="D151" s="4" t="n">
        <v>2022</v>
      </c>
      <c r="E151" s="5" t="n"/>
      <c r="F151" s="5" t="n"/>
      <c r="G151" s="5" t="n">
        <v>42</v>
      </c>
      <c r="H151" s="10">
        <f>IF(E151&gt;0,G151/E151,"")</f>
        <v/>
      </c>
      <c r="I151" s="11">
        <f>IF(AND(F151&gt;0,G151&gt;0),F151/G151,"")</f>
        <v/>
      </c>
    </row>
    <row r="152">
      <c r="A152" s="4" t="inlineStr">
        <is>
          <t>260</t>
        </is>
      </c>
      <c r="B152" s="4" t="n">
        <v>2</v>
      </c>
      <c r="C152" s="4" t="inlineStr">
        <is>
          <t>mule deer</t>
        </is>
      </c>
      <c r="D152" s="4" t="n">
        <v>2023</v>
      </c>
      <c r="E152" s="5" t="n">
        <v>1092</v>
      </c>
      <c r="F152" s="5" t="n">
        <v>10053</v>
      </c>
      <c r="G152" s="5" t="n">
        <v>45</v>
      </c>
      <c r="H152" s="10">
        <f>IF(E152&gt;0,G152/E152,"")</f>
        <v/>
      </c>
      <c r="I152" s="11">
        <f>IF(AND(F152&gt;0,G152&gt;0),F152/G152,"")</f>
        <v/>
      </c>
    </row>
    <row r="153">
      <c r="A153" s="4" t="inlineStr">
        <is>
          <t>260</t>
        </is>
      </c>
      <c r="B153" s="4" t="n">
        <v>2</v>
      </c>
      <c r="C153" s="4" t="inlineStr">
        <is>
          <t>mule deer</t>
        </is>
      </c>
      <c r="D153" s="4" t="n">
        <v>2024</v>
      </c>
      <c r="E153" s="5" t="n"/>
      <c r="F153" s="5" t="n"/>
      <c r="G153" s="5" t="n">
        <v>6</v>
      </c>
      <c r="H153" s="10">
        <f>IF(E153&gt;0,G153/E153,"")</f>
        <v/>
      </c>
      <c r="I153" s="11">
        <f>IF(AND(F153&gt;0,G153&gt;0),F153/G153,"")</f>
        <v/>
      </c>
    </row>
    <row r="154">
      <c r="A154" s="4" t="inlineStr">
        <is>
          <t>260</t>
        </is>
      </c>
      <c r="B154" s="4" t="n">
        <v>2</v>
      </c>
      <c r="C154" s="4" t="inlineStr">
        <is>
          <t>mule deer</t>
        </is>
      </c>
      <c r="D154" s="4" t="n">
        <v>2025</v>
      </c>
      <c r="E154" s="5" t="n">
        <v>1130</v>
      </c>
      <c r="F154" s="5" t="n">
        <v>9167</v>
      </c>
      <c r="G154" s="5" t="n">
        <v>35</v>
      </c>
      <c r="H154" s="10">
        <f>IF(E154&gt;0,G154/E154,"")</f>
        <v/>
      </c>
      <c r="I154" s="11">
        <f>IF(AND(F154&gt;0,G154&gt;0),F154/G154,"")</f>
        <v/>
      </c>
    </row>
    <row r="155">
      <c r="A155" s="4" t="inlineStr">
        <is>
          <t>261</t>
        </is>
      </c>
      <c r="B155" s="4" t="n">
        <v>2</v>
      </c>
      <c r="C155" s="4" t="inlineStr">
        <is>
          <t>mule deer</t>
        </is>
      </c>
      <c r="D155" s="4" t="n">
        <v>2021</v>
      </c>
      <c r="E155" s="5" t="n">
        <v>379</v>
      </c>
      <c r="F155" s="5" t="n">
        <v>2616</v>
      </c>
      <c r="G155" s="5" t="n">
        <v>12</v>
      </c>
      <c r="H155" s="10">
        <f>IF(E155&gt;0,G155/E155,"")</f>
        <v/>
      </c>
      <c r="I155" s="11">
        <f>IF(AND(F155&gt;0,G155&gt;0),F155/G155,"")</f>
        <v/>
      </c>
    </row>
    <row r="156">
      <c r="A156" s="4" t="inlineStr">
        <is>
          <t>261</t>
        </is>
      </c>
      <c r="B156" s="4" t="n">
        <v>2</v>
      </c>
      <c r="C156" s="4" t="inlineStr">
        <is>
          <t>mule deer</t>
        </is>
      </c>
      <c r="D156" s="4" t="n">
        <v>2022</v>
      </c>
      <c r="E156" s="5" t="n"/>
      <c r="F156" s="5" t="n"/>
      <c r="G156" s="5" t="n">
        <v>14</v>
      </c>
      <c r="H156" s="10">
        <f>IF(E156&gt;0,G156/E156,"")</f>
        <v/>
      </c>
      <c r="I156" s="11">
        <f>IF(AND(F156&gt;0,G156&gt;0),F156/G156,"")</f>
        <v/>
      </c>
    </row>
    <row r="157">
      <c r="A157" s="4" t="inlineStr">
        <is>
          <t>261</t>
        </is>
      </c>
      <c r="B157" s="4" t="n">
        <v>2</v>
      </c>
      <c r="C157" s="4" t="inlineStr">
        <is>
          <t>mule deer</t>
        </is>
      </c>
      <c r="D157" s="4" t="n">
        <v>2023</v>
      </c>
      <c r="E157" s="5" t="n">
        <v>500</v>
      </c>
      <c r="F157" s="5" t="n">
        <v>3392</v>
      </c>
      <c r="G157" s="5" t="n">
        <v>8</v>
      </c>
      <c r="H157" s="10">
        <f>IF(E157&gt;0,G157/E157,"")</f>
        <v/>
      </c>
      <c r="I157" s="11">
        <f>IF(AND(F157&gt;0,G157&gt;0),F157/G157,"")</f>
        <v/>
      </c>
    </row>
    <row r="158">
      <c r="A158" s="4" t="inlineStr">
        <is>
          <t>261</t>
        </is>
      </c>
      <c r="B158" s="4" t="n">
        <v>2</v>
      </c>
      <c r="C158" s="4" t="inlineStr">
        <is>
          <t>mule deer</t>
        </is>
      </c>
      <c r="D158" s="4" t="n">
        <v>2024</v>
      </c>
      <c r="E158" s="5" t="n"/>
      <c r="F158" s="5" t="n"/>
      <c r="G158" s="5" t="n">
        <v>15</v>
      </c>
      <c r="H158" s="10">
        <f>IF(E158&gt;0,G158/E158,"")</f>
        <v/>
      </c>
      <c r="I158" s="11">
        <f>IF(AND(F158&gt;0,G158&gt;0),F158/G158,"")</f>
        <v/>
      </c>
    </row>
    <row r="159">
      <c r="A159" s="4" t="inlineStr">
        <is>
          <t>261</t>
        </is>
      </c>
      <c r="B159" s="4" t="n">
        <v>2</v>
      </c>
      <c r="C159" s="4" t="inlineStr">
        <is>
          <t>mule deer</t>
        </is>
      </c>
      <c r="D159" s="4" t="n">
        <v>2025</v>
      </c>
      <c r="E159" s="5" t="n">
        <v>486</v>
      </c>
      <c r="F159" s="5" t="n">
        <v>2952</v>
      </c>
      <c r="G159" s="5" t="n">
        <v>9</v>
      </c>
      <c r="H159" s="10">
        <f>IF(E159&gt;0,G159/E159,"")</f>
        <v/>
      </c>
      <c r="I159" s="11">
        <f>IF(AND(F159&gt;0,G159&gt;0),F159/G159,"")</f>
        <v/>
      </c>
    </row>
    <row r="160">
      <c r="A160" s="4" t="inlineStr">
        <is>
          <t>262</t>
        </is>
      </c>
      <c r="B160" s="4" t="n">
        <v>2</v>
      </c>
      <c r="C160" s="4" t="inlineStr">
        <is>
          <t>mule deer</t>
        </is>
      </c>
      <c r="D160" s="4" t="n">
        <v>2021</v>
      </c>
      <c r="E160" s="5" t="n">
        <v>706</v>
      </c>
      <c r="F160" s="5" t="n">
        <v>5017</v>
      </c>
      <c r="G160" s="5" t="n">
        <v>71</v>
      </c>
      <c r="H160" s="10">
        <f>IF(E160&gt;0,G160/E160,"")</f>
        <v/>
      </c>
      <c r="I160" s="11">
        <f>IF(AND(F160&gt;0,G160&gt;0),F160/G160,"")</f>
        <v/>
      </c>
    </row>
    <row r="161">
      <c r="A161" s="4" t="inlineStr">
        <is>
          <t>262</t>
        </is>
      </c>
      <c r="B161" s="4" t="n">
        <v>2</v>
      </c>
      <c r="C161" s="4" t="inlineStr">
        <is>
          <t>mule deer</t>
        </is>
      </c>
      <c r="D161" s="4" t="n">
        <v>2022</v>
      </c>
      <c r="E161" s="5" t="n"/>
      <c r="F161" s="5" t="n"/>
      <c r="G161" s="5" t="n">
        <v>50</v>
      </c>
      <c r="H161" s="10">
        <f>IF(E161&gt;0,G161/E161,"")</f>
        <v/>
      </c>
      <c r="I161" s="11">
        <f>IF(AND(F161&gt;0,G161&gt;0),F161/G161,"")</f>
        <v/>
      </c>
    </row>
    <row r="162">
      <c r="A162" s="4" t="inlineStr">
        <is>
          <t>262</t>
        </is>
      </c>
      <c r="B162" s="4" t="n">
        <v>2</v>
      </c>
      <c r="C162" s="4" t="inlineStr">
        <is>
          <t>mule deer</t>
        </is>
      </c>
      <c r="D162" s="4" t="n">
        <v>2023</v>
      </c>
      <c r="E162" s="5" t="n">
        <v>748</v>
      </c>
      <c r="F162" s="5" t="n">
        <v>5534</v>
      </c>
      <c r="G162" s="5" t="n">
        <v>34</v>
      </c>
      <c r="H162" s="10">
        <f>IF(E162&gt;0,G162/E162,"")</f>
        <v/>
      </c>
      <c r="I162" s="11">
        <f>IF(AND(F162&gt;0,G162&gt;0),F162/G162,"")</f>
        <v/>
      </c>
    </row>
    <row r="163">
      <c r="A163" s="4" t="inlineStr">
        <is>
          <t>262</t>
        </is>
      </c>
      <c r="B163" s="4" t="n">
        <v>2</v>
      </c>
      <c r="C163" s="4" t="inlineStr">
        <is>
          <t>mule deer</t>
        </is>
      </c>
      <c r="D163" s="4" t="n">
        <v>2024</v>
      </c>
      <c r="E163" s="5" t="n"/>
      <c r="F163" s="5" t="n"/>
      <c r="G163" s="5" t="n">
        <v>47</v>
      </c>
      <c r="H163" s="10">
        <f>IF(E163&gt;0,G163/E163,"")</f>
        <v/>
      </c>
      <c r="I163" s="11">
        <f>IF(AND(F163&gt;0,G163&gt;0),F163/G163,"")</f>
        <v/>
      </c>
    </row>
    <row r="164">
      <c r="A164" s="4" t="inlineStr">
        <is>
          <t>262</t>
        </is>
      </c>
      <c r="B164" s="4" t="n">
        <v>2</v>
      </c>
      <c r="C164" s="4" t="inlineStr">
        <is>
          <t>mule deer</t>
        </is>
      </c>
      <c r="D164" s="4" t="n">
        <v>2025</v>
      </c>
      <c r="E164" s="5" t="n">
        <v>804</v>
      </c>
      <c r="F164" s="5" t="n">
        <v>5230</v>
      </c>
      <c r="G164" s="5" t="n">
        <v>41</v>
      </c>
      <c r="H164" s="10">
        <f>IF(E164&gt;0,G164/E164,"")</f>
        <v/>
      </c>
      <c r="I164" s="11">
        <f>IF(AND(F164&gt;0,G164&gt;0),F164/G164,"")</f>
        <v/>
      </c>
    </row>
    <row r="165">
      <c r="A165" s="4" t="inlineStr">
        <is>
          <t>270</t>
        </is>
      </c>
      <c r="B165" s="4" t="n">
        <v>2</v>
      </c>
      <c r="C165" s="4" t="inlineStr">
        <is>
          <t>mule deer</t>
        </is>
      </c>
      <c r="D165" s="4" t="n">
        <v>2021</v>
      </c>
      <c r="E165" s="5" t="n">
        <v>1501</v>
      </c>
      <c r="F165" s="5" t="n">
        <v>12220</v>
      </c>
      <c r="G165" s="5" t="n">
        <v>92</v>
      </c>
      <c r="H165" s="10">
        <f>IF(E165&gt;0,G165/E165,"")</f>
        <v/>
      </c>
      <c r="I165" s="11">
        <f>IF(AND(F165&gt;0,G165&gt;0),F165/G165,"")</f>
        <v/>
      </c>
    </row>
    <row r="166">
      <c r="A166" s="4" t="inlineStr">
        <is>
          <t>270</t>
        </is>
      </c>
      <c r="B166" s="4" t="n">
        <v>2</v>
      </c>
      <c r="C166" s="4" t="inlineStr">
        <is>
          <t>mule deer</t>
        </is>
      </c>
      <c r="D166" s="4" t="n">
        <v>2022</v>
      </c>
      <c r="E166" s="5" t="n"/>
      <c r="F166" s="5" t="n"/>
      <c r="G166" s="5" t="n">
        <v>67</v>
      </c>
      <c r="H166" s="10">
        <f>IF(E166&gt;0,G166/E166,"")</f>
        <v/>
      </c>
      <c r="I166" s="11">
        <f>IF(AND(F166&gt;0,G166&gt;0),F166/G166,"")</f>
        <v/>
      </c>
    </row>
    <row r="167">
      <c r="A167" s="4" t="inlineStr">
        <is>
          <t>270</t>
        </is>
      </c>
      <c r="B167" s="4" t="n">
        <v>2</v>
      </c>
      <c r="C167" s="4" t="inlineStr">
        <is>
          <t>mule deer</t>
        </is>
      </c>
      <c r="D167" s="4" t="n">
        <v>2023</v>
      </c>
      <c r="E167" s="5" t="n">
        <v>1887</v>
      </c>
      <c r="F167" s="5" t="n">
        <v>14284</v>
      </c>
      <c r="G167" s="5" t="n">
        <v>87</v>
      </c>
      <c r="H167" s="10">
        <f>IF(E167&gt;0,G167/E167,"")</f>
        <v/>
      </c>
      <c r="I167" s="11">
        <f>IF(AND(F167&gt;0,G167&gt;0),F167/G167,"")</f>
        <v/>
      </c>
    </row>
    <row r="168">
      <c r="A168" s="4" t="inlineStr">
        <is>
          <t>270</t>
        </is>
      </c>
      <c r="B168" s="4" t="n">
        <v>2</v>
      </c>
      <c r="C168" s="4" t="inlineStr">
        <is>
          <t>mule deer</t>
        </is>
      </c>
      <c r="D168" s="4" t="n">
        <v>2024</v>
      </c>
      <c r="E168" s="5" t="n"/>
      <c r="F168" s="5" t="n"/>
      <c r="G168" s="5" t="n">
        <v>80</v>
      </c>
      <c r="H168" s="10">
        <f>IF(E168&gt;0,G168/E168,"")</f>
        <v/>
      </c>
      <c r="I168" s="11">
        <f>IF(AND(F168&gt;0,G168&gt;0),F168/G168,"")</f>
        <v/>
      </c>
    </row>
    <row r="169">
      <c r="A169" s="4" t="inlineStr">
        <is>
          <t>270</t>
        </is>
      </c>
      <c r="B169" s="4" t="n">
        <v>2</v>
      </c>
      <c r="C169" s="4" t="inlineStr">
        <is>
          <t>mule deer</t>
        </is>
      </c>
      <c r="D169" s="4" t="n">
        <v>2025</v>
      </c>
      <c r="E169" s="5" t="n">
        <v>1968</v>
      </c>
      <c r="F169" s="5" t="n">
        <v>16116</v>
      </c>
      <c r="G169" s="5" t="n">
        <v>77</v>
      </c>
      <c r="H169" s="10">
        <f>IF(E169&gt;0,G169/E169,"")</f>
        <v/>
      </c>
      <c r="I169" s="11">
        <f>IF(AND(F169&gt;0,G169&gt;0),F169/G169,"")</f>
        <v/>
      </c>
    </row>
    <row r="170">
      <c r="A170" s="4" t="inlineStr">
        <is>
          <t>280</t>
        </is>
      </c>
      <c r="B170" s="4" t="n">
        <v>2</v>
      </c>
      <c r="C170" s="4" t="inlineStr">
        <is>
          <t>mule deer</t>
        </is>
      </c>
      <c r="D170" s="4" t="n">
        <v>2021</v>
      </c>
      <c r="E170" s="5" t="n">
        <v>99</v>
      </c>
      <c r="F170" s="5" t="n">
        <v>522</v>
      </c>
      <c r="G170" s="5" t="n">
        <v>3</v>
      </c>
      <c r="H170" s="10">
        <f>IF(E170&gt;0,G170/E170,"")</f>
        <v/>
      </c>
      <c r="I170" s="11">
        <f>IF(AND(F170&gt;0,G170&gt;0),F170/G170,"")</f>
        <v/>
      </c>
    </row>
    <row r="171">
      <c r="A171" s="4" t="inlineStr">
        <is>
          <t>280</t>
        </is>
      </c>
      <c r="B171" s="4" t="n">
        <v>2</v>
      </c>
      <c r="C171" s="4" t="inlineStr">
        <is>
          <t>mule deer</t>
        </is>
      </c>
      <c r="D171" s="4" t="n">
        <v>2022</v>
      </c>
      <c r="E171" s="5" t="n"/>
      <c r="F171" s="5" t="n"/>
      <c r="G171" s="5" t="n">
        <v>7</v>
      </c>
      <c r="H171" s="10">
        <f>IF(E171&gt;0,G171/E171,"")</f>
        <v/>
      </c>
      <c r="I171" s="11">
        <f>IF(AND(F171&gt;0,G171&gt;0),F171/G171,"")</f>
        <v/>
      </c>
    </row>
    <row r="172">
      <c r="A172" s="4" t="inlineStr">
        <is>
          <t>280</t>
        </is>
      </c>
      <c r="B172" s="4" t="n">
        <v>2</v>
      </c>
      <c r="C172" s="4" t="inlineStr">
        <is>
          <t>mule deer</t>
        </is>
      </c>
      <c r="D172" s="4" t="n">
        <v>2023</v>
      </c>
      <c r="E172" s="5" t="n">
        <v>149</v>
      </c>
      <c r="F172" s="5" t="n">
        <v>968</v>
      </c>
      <c r="G172" s="5" t="n">
        <v>3</v>
      </c>
      <c r="H172" s="10">
        <f>IF(E172&gt;0,G172/E172,"")</f>
        <v/>
      </c>
      <c r="I172" s="11">
        <f>IF(AND(F172&gt;0,G172&gt;0),F172/G172,"")</f>
        <v/>
      </c>
    </row>
    <row r="173">
      <c r="A173" s="4" t="inlineStr">
        <is>
          <t>280</t>
        </is>
      </c>
      <c r="B173" s="4" t="n">
        <v>2</v>
      </c>
      <c r="C173" s="4" t="inlineStr">
        <is>
          <t>mule deer</t>
        </is>
      </c>
      <c r="D173" s="4" t="n">
        <v>2024</v>
      </c>
      <c r="E173" s="5" t="n"/>
      <c r="F173" s="5" t="n"/>
      <c r="G173" s="5" t="n">
        <v>12</v>
      </c>
      <c r="H173" s="10">
        <f>IF(E173&gt;0,G173/E173,"")</f>
        <v/>
      </c>
      <c r="I173" s="11">
        <f>IF(AND(F173&gt;0,G173&gt;0),F173/G173,"")</f>
        <v/>
      </c>
    </row>
    <row r="174">
      <c r="A174" s="4" t="inlineStr">
        <is>
          <t>280</t>
        </is>
      </c>
      <c r="B174" s="4" t="n">
        <v>2</v>
      </c>
      <c r="C174" s="4" t="inlineStr">
        <is>
          <t>mule deer</t>
        </is>
      </c>
      <c r="D174" s="4" t="n">
        <v>2025</v>
      </c>
      <c r="E174" s="5" t="n">
        <v>191</v>
      </c>
      <c r="F174" s="5" t="n">
        <v>1204</v>
      </c>
      <c r="G174" s="5" t="n">
        <v>7</v>
      </c>
      <c r="H174" s="10">
        <f>IF(E174&gt;0,G174/E174,"")</f>
        <v/>
      </c>
      <c r="I174" s="11">
        <f>IF(AND(F174&gt;0,G174&gt;0),F174/G174,"")</f>
        <v/>
      </c>
    </row>
    <row r="175">
      <c r="A175" s="4" t="inlineStr">
        <is>
          <t>281</t>
        </is>
      </c>
      <c r="B175" s="4" t="n">
        <v>2</v>
      </c>
      <c r="C175" s="4" t="inlineStr">
        <is>
          <t>mule deer</t>
        </is>
      </c>
      <c r="D175" s="4" t="n">
        <v>2021</v>
      </c>
      <c r="E175" s="5" t="n">
        <v>956</v>
      </c>
      <c r="F175" s="5" t="n">
        <v>6190</v>
      </c>
      <c r="G175" s="5" t="n">
        <v>51</v>
      </c>
      <c r="H175" s="10">
        <f>IF(E175&gt;0,G175/E175,"")</f>
        <v/>
      </c>
      <c r="I175" s="11">
        <f>IF(AND(F175&gt;0,G175&gt;0),F175/G175,"")</f>
        <v/>
      </c>
    </row>
    <row r="176">
      <c r="A176" s="4" t="inlineStr">
        <is>
          <t>281</t>
        </is>
      </c>
      <c r="B176" s="4" t="n">
        <v>2</v>
      </c>
      <c r="C176" s="4" t="inlineStr">
        <is>
          <t>mule deer</t>
        </is>
      </c>
      <c r="D176" s="4" t="n">
        <v>2022</v>
      </c>
      <c r="E176" s="5" t="n"/>
      <c r="F176" s="5" t="n"/>
      <c r="G176" s="5" t="n">
        <v>71</v>
      </c>
      <c r="H176" s="10">
        <f>IF(E176&gt;0,G176/E176,"")</f>
        <v/>
      </c>
      <c r="I176" s="11">
        <f>IF(AND(F176&gt;0,G176&gt;0),F176/G176,"")</f>
        <v/>
      </c>
    </row>
    <row r="177">
      <c r="A177" s="4" t="inlineStr">
        <is>
          <t>281</t>
        </is>
      </c>
      <c r="B177" s="4" t="n">
        <v>2</v>
      </c>
      <c r="C177" s="4" t="inlineStr">
        <is>
          <t>mule deer</t>
        </is>
      </c>
      <c r="D177" s="4" t="n">
        <v>2023</v>
      </c>
      <c r="E177" s="5" t="n">
        <v>1153</v>
      </c>
      <c r="F177" s="5" t="n">
        <v>8211</v>
      </c>
      <c r="G177" s="5" t="n">
        <v>69</v>
      </c>
      <c r="H177" s="10">
        <f>IF(E177&gt;0,G177/E177,"")</f>
        <v/>
      </c>
      <c r="I177" s="11">
        <f>IF(AND(F177&gt;0,G177&gt;0),F177/G177,"")</f>
        <v/>
      </c>
    </row>
    <row r="178">
      <c r="A178" s="4" t="inlineStr">
        <is>
          <t>281</t>
        </is>
      </c>
      <c r="B178" s="4" t="n">
        <v>2</v>
      </c>
      <c r="C178" s="4" t="inlineStr">
        <is>
          <t>mule deer</t>
        </is>
      </c>
      <c r="D178" s="4" t="n">
        <v>2024</v>
      </c>
      <c r="E178" s="5" t="n"/>
      <c r="F178" s="5" t="n"/>
      <c r="G178" s="5" t="n">
        <v>75</v>
      </c>
      <c r="H178" s="10">
        <f>IF(E178&gt;0,G178/E178,"")</f>
        <v/>
      </c>
      <c r="I178" s="11">
        <f>IF(AND(F178&gt;0,G178&gt;0),F178/G178,"")</f>
        <v/>
      </c>
    </row>
    <row r="179">
      <c r="A179" s="4" t="inlineStr">
        <is>
          <t>281</t>
        </is>
      </c>
      <c r="B179" s="4" t="n">
        <v>2</v>
      </c>
      <c r="C179" s="4" t="inlineStr">
        <is>
          <t>mule deer</t>
        </is>
      </c>
      <c r="D179" s="4" t="n">
        <v>2025</v>
      </c>
      <c r="E179" s="5" t="n">
        <v>1229</v>
      </c>
      <c r="F179" s="5" t="n">
        <v>7880</v>
      </c>
      <c r="G179" s="5" t="n">
        <v>88</v>
      </c>
      <c r="H179" s="10">
        <f>IF(E179&gt;0,G179/E179,"")</f>
        <v/>
      </c>
      <c r="I179" s="11">
        <f>IF(AND(F179&gt;0,G179&gt;0),F179/G179,"")</f>
        <v/>
      </c>
    </row>
    <row r="180">
      <c r="A180" s="4" t="inlineStr">
        <is>
          <t>282</t>
        </is>
      </c>
      <c r="B180" s="4" t="n">
        <v>2</v>
      </c>
      <c r="C180" s="4" t="inlineStr">
        <is>
          <t>mule deer</t>
        </is>
      </c>
      <c r="D180" s="4" t="n">
        <v>2021</v>
      </c>
      <c r="E180" s="5" t="n">
        <v>198</v>
      </c>
      <c r="F180" s="5" t="n">
        <v>1195</v>
      </c>
      <c r="G180" s="5" t="n">
        <v>8</v>
      </c>
      <c r="H180" s="10">
        <f>IF(E180&gt;0,G180/E180,"")</f>
        <v/>
      </c>
      <c r="I180" s="11">
        <f>IF(AND(F180&gt;0,G180&gt;0),F180/G180,"")</f>
        <v/>
      </c>
    </row>
    <row r="181">
      <c r="A181" s="4" t="inlineStr">
        <is>
          <t>282</t>
        </is>
      </c>
      <c r="B181" s="4" t="n">
        <v>2</v>
      </c>
      <c r="C181" s="4" t="inlineStr">
        <is>
          <t>mule deer</t>
        </is>
      </c>
      <c r="D181" s="4" t="n">
        <v>2022</v>
      </c>
      <c r="E181" s="5" t="n"/>
      <c r="F181" s="5" t="n"/>
      <c r="G181" s="5" t="n">
        <v>17</v>
      </c>
      <c r="H181" s="10">
        <f>IF(E181&gt;0,G181/E181,"")</f>
        <v/>
      </c>
      <c r="I181" s="11">
        <f>IF(AND(F181&gt;0,G181&gt;0),F181/G181,"")</f>
        <v/>
      </c>
    </row>
    <row r="182">
      <c r="A182" s="4" t="inlineStr">
        <is>
          <t>282</t>
        </is>
      </c>
      <c r="B182" s="4" t="n">
        <v>2</v>
      </c>
      <c r="C182" s="4" t="inlineStr">
        <is>
          <t>mule deer</t>
        </is>
      </c>
      <c r="D182" s="4" t="n">
        <v>2023</v>
      </c>
      <c r="E182" s="5" t="n">
        <v>257</v>
      </c>
      <c r="F182" s="5" t="n">
        <v>1611</v>
      </c>
      <c r="G182" s="5" t="n">
        <v>5</v>
      </c>
      <c r="H182" s="10">
        <f>IF(E182&gt;0,G182/E182,"")</f>
        <v/>
      </c>
      <c r="I182" s="11">
        <f>IF(AND(F182&gt;0,G182&gt;0),F182/G182,"")</f>
        <v/>
      </c>
    </row>
    <row r="183">
      <c r="A183" s="4" t="inlineStr">
        <is>
          <t>282</t>
        </is>
      </c>
      <c r="B183" s="4" t="n">
        <v>2</v>
      </c>
      <c r="C183" s="4" t="inlineStr">
        <is>
          <t>mule deer</t>
        </is>
      </c>
      <c r="D183" s="4" t="n">
        <v>2024</v>
      </c>
      <c r="E183" s="5" t="n"/>
      <c r="F183" s="5" t="n"/>
      <c r="G183" s="5" t="n">
        <v>11</v>
      </c>
      <c r="H183" s="10">
        <f>IF(E183&gt;0,G183/E183,"")</f>
        <v/>
      </c>
      <c r="I183" s="11">
        <f>IF(AND(F183&gt;0,G183&gt;0),F183/G183,"")</f>
        <v/>
      </c>
    </row>
    <row r="184">
      <c r="A184" s="4" t="inlineStr">
        <is>
          <t>282</t>
        </is>
      </c>
      <c r="B184" s="4" t="n">
        <v>2</v>
      </c>
      <c r="C184" s="4" t="inlineStr">
        <is>
          <t>mule deer</t>
        </is>
      </c>
      <c r="D184" s="4" t="n">
        <v>2025</v>
      </c>
      <c r="E184" s="5" t="n">
        <v>367</v>
      </c>
      <c r="F184" s="5" t="n">
        <v>2250</v>
      </c>
      <c r="G184" s="5" t="n">
        <v>11</v>
      </c>
      <c r="H184" s="10">
        <f>IF(E184&gt;0,G184/E184,"")</f>
        <v/>
      </c>
      <c r="I184" s="11">
        <f>IF(AND(F184&gt;0,G184&gt;0),F184/G184,"")</f>
        <v/>
      </c>
    </row>
    <row r="185">
      <c r="A185" s="4" t="inlineStr">
        <is>
          <t>283</t>
        </is>
      </c>
      <c r="B185" s="4" t="n">
        <v>2</v>
      </c>
      <c r="C185" s="4" t="inlineStr">
        <is>
          <t>mule deer</t>
        </is>
      </c>
      <c r="D185" s="4" t="n">
        <v>2021</v>
      </c>
      <c r="E185" s="5" t="n">
        <v>1161</v>
      </c>
      <c r="F185" s="5" t="n">
        <v>7532</v>
      </c>
      <c r="G185" s="5" t="n">
        <v>35</v>
      </c>
      <c r="H185" s="10">
        <f>IF(E185&gt;0,G185/E185,"")</f>
        <v/>
      </c>
      <c r="I185" s="11">
        <f>IF(AND(F185&gt;0,G185&gt;0),F185/G185,"")</f>
        <v/>
      </c>
    </row>
    <row r="186">
      <c r="A186" s="4" t="inlineStr">
        <is>
          <t>284</t>
        </is>
      </c>
      <c r="B186" s="4" t="n">
        <v>2</v>
      </c>
      <c r="C186" s="4" t="inlineStr">
        <is>
          <t>mule deer</t>
        </is>
      </c>
      <c r="D186" s="4" t="n">
        <v>2021</v>
      </c>
      <c r="E186" s="5" t="n">
        <v>200</v>
      </c>
      <c r="F186" s="5" t="n">
        <v>1392</v>
      </c>
      <c r="G186" s="5" t="n">
        <v>3</v>
      </c>
      <c r="H186" s="10">
        <f>IF(E186&gt;0,G186/E186,"")</f>
        <v/>
      </c>
      <c r="I186" s="11">
        <f>IF(AND(F186&gt;0,G186&gt;0),F186/G186,"")</f>
        <v/>
      </c>
    </row>
    <row r="187">
      <c r="A187" s="4" t="inlineStr">
        <is>
          <t>284</t>
        </is>
      </c>
      <c r="B187" s="4" t="n">
        <v>2</v>
      </c>
      <c r="C187" s="4" t="inlineStr">
        <is>
          <t>mule deer</t>
        </is>
      </c>
      <c r="D187" s="4" t="n">
        <v>2022</v>
      </c>
      <c r="E187" s="5" t="n"/>
      <c r="F187" s="5" t="n"/>
      <c r="G187" s="5" t="n">
        <v>10</v>
      </c>
      <c r="H187" s="10">
        <f>IF(E187&gt;0,G187/E187,"")</f>
        <v/>
      </c>
      <c r="I187" s="11">
        <f>IF(AND(F187&gt;0,G187&gt;0),F187/G187,"")</f>
        <v/>
      </c>
    </row>
    <row r="188">
      <c r="A188" s="4" t="inlineStr">
        <is>
          <t>284</t>
        </is>
      </c>
      <c r="B188" s="4" t="n">
        <v>2</v>
      </c>
      <c r="C188" s="4" t="inlineStr">
        <is>
          <t>mule deer</t>
        </is>
      </c>
      <c r="D188" s="4" t="n">
        <v>2023</v>
      </c>
      <c r="E188" s="5" t="n">
        <v>120</v>
      </c>
      <c r="F188" s="5" t="n">
        <v>1198</v>
      </c>
      <c r="G188" s="5" t="n">
        <v>7</v>
      </c>
      <c r="H188" s="10">
        <f>IF(E188&gt;0,G188/E188,"")</f>
        <v/>
      </c>
      <c r="I188" s="11">
        <f>IF(AND(F188&gt;0,G188&gt;0),F188/G188,"")</f>
        <v/>
      </c>
    </row>
    <row r="189">
      <c r="A189" s="4" t="inlineStr">
        <is>
          <t>284</t>
        </is>
      </c>
      <c r="B189" s="4" t="n">
        <v>2</v>
      </c>
      <c r="C189" s="4" t="inlineStr">
        <is>
          <t>mule deer</t>
        </is>
      </c>
      <c r="D189" s="4" t="n">
        <v>2024</v>
      </c>
      <c r="E189" s="5" t="n"/>
      <c r="F189" s="5" t="n"/>
      <c r="G189" s="5" t="n">
        <v>3</v>
      </c>
      <c r="H189" s="10">
        <f>IF(E189&gt;0,G189/E189,"")</f>
        <v/>
      </c>
      <c r="I189" s="11">
        <f>IF(AND(F189&gt;0,G189&gt;0),F189/G189,"")</f>
        <v/>
      </c>
    </row>
    <row r="190">
      <c r="A190" s="4" t="inlineStr">
        <is>
          <t>284</t>
        </is>
      </c>
      <c r="B190" s="4" t="n">
        <v>2</v>
      </c>
      <c r="C190" s="4" t="inlineStr">
        <is>
          <t>mule deer</t>
        </is>
      </c>
      <c r="D190" s="4" t="n">
        <v>2025</v>
      </c>
      <c r="E190" s="5" t="n">
        <v>174</v>
      </c>
      <c r="F190" s="5" t="n">
        <v>1185</v>
      </c>
      <c r="G190" s="5" t="n">
        <v>13</v>
      </c>
      <c r="H190" s="10">
        <f>IF(E190&gt;0,G190/E190,"")</f>
        <v/>
      </c>
      <c r="I190" s="11">
        <f>IF(AND(F190&gt;0,G190&gt;0),F190/G190,"")</f>
        <v/>
      </c>
    </row>
    <row r="191">
      <c r="A191" s="4" t="inlineStr">
        <is>
          <t>285</t>
        </is>
      </c>
      <c r="B191" s="4" t="n">
        <v>2</v>
      </c>
      <c r="C191" s="4" t="inlineStr">
        <is>
          <t>mule deer</t>
        </is>
      </c>
      <c r="D191" s="4" t="n">
        <v>2021</v>
      </c>
      <c r="E191" s="5" t="n">
        <v>2106</v>
      </c>
      <c r="F191" s="5" t="n">
        <v>14948</v>
      </c>
      <c r="G191" s="5" t="n">
        <v>44</v>
      </c>
      <c r="H191" s="10">
        <f>IF(E191&gt;0,G191/E191,"")</f>
        <v/>
      </c>
      <c r="I191" s="11">
        <f>IF(AND(F191&gt;0,G191&gt;0),F191/G191,"")</f>
        <v/>
      </c>
    </row>
    <row r="192">
      <c r="A192" s="4" t="inlineStr">
        <is>
          <t>285</t>
        </is>
      </c>
      <c r="B192" s="4" t="n">
        <v>2</v>
      </c>
      <c r="C192" s="4" t="inlineStr">
        <is>
          <t>mule deer</t>
        </is>
      </c>
      <c r="D192" s="4" t="n">
        <v>2022</v>
      </c>
      <c r="E192" s="5" t="n"/>
      <c r="F192" s="5" t="n"/>
      <c r="G192" s="5" t="n">
        <v>85</v>
      </c>
      <c r="H192" s="10">
        <f>IF(E192&gt;0,G192/E192,"")</f>
        <v/>
      </c>
      <c r="I192" s="11">
        <f>IF(AND(F192&gt;0,G192&gt;0),F192/G192,"")</f>
        <v/>
      </c>
    </row>
    <row r="193">
      <c r="A193" s="4" t="inlineStr">
        <is>
          <t>285</t>
        </is>
      </c>
      <c r="B193" s="4" t="n">
        <v>2</v>
      </c>
      <c r="C193" s="4" t="inlineStr">
        <is>
          <t>mule deer</t>
        </is>
      </c>
      <c r="D193" s="4" t="n">
        <v>2023</v>
      </c>
      <c r="E193" s="5" t="n">
        <v>2665</v>
      </c>
      <c r="F193" s="5" t="n">
        <v>18860</v>
      </c>
      <c r="G193" s="5" t="n">
        <v>100</v>
      </c>
      <c r="H193" s="10">
        <f>IF(E193&gt;0,G193/E193,"")</f>
        <v/>
      </c>
      <c r="I193" s="11">
        <f>IF(AND(F193&gt;0,G193&gt;0),F193/G193,"")</f>
        <v/>
      </c>
    </row>
    <row r="194">
      <c r="A194" s="4" t="inlineStr">
        <is>
          <t>285</t>
        </is>
      </c>
      <c r="B194" s="4" t="n">
        <v>2</v>
      </c>
      <c r="C194" s="4" t="inlineStr">
        <is>
          <t>mule deer</t>
        </is>
      </c>
      <c r="D194" s="4" t="n">
        <v>2024</v>
      </c>
      <c r="E194" s="5" t="n"/>
      <c r="F194" s="5" t="n"/>
      <c r="G194" s="5" t="n">
        <v>109</v>
      </c>
      <c r="H194" s="10">
        <f>IF(E194&gt;0,G194/E194,"")</f>
        <v/>
      </c>
      <c r="I194" s="11">
        <f>IF(AND(F194&gt;0,G194&gt;0),F194/G194,"")</f>
        <v/>
      </c>
    </row>
    <row r="195">
      <c r="A195" s="4" t="inlineStr">
        <is>
          <t>285</t>
        </is>
      </c>
      <c r="B195" s="4" t="n">
        <v>2</v>
      </c>
      <c r="C195" s="4" t="inlineStr">
        <is>
          <t>mule deer</t>
        </is>
      </c>
      <c r="D195" s="4" t="n">
        <v>2025</v>
      </c>
      <c r="E195" s="5" t="n">
        <v>3133</v>
      </c>
      <c r="F195" s="5" t="n">
        <v>20680</v>
      </c>
      <c r="G195" s="5" t="n">
        <v>144</v>
      </c>
      <c r="H195" s="10">
        <f>IF(E195&gt;0,G195/E195,"")</f>
        <v/>
      </c>
      <c r="I195" s="11">
        <f>IF(AND(F195&gt;0,G195&gt;0),F195/G195,"")</f>
        <v/>
      </c>
    </row>
    <row r="196">
      <c r="A196" s="4" t="inlineStr">
        <is>
          <t>290</t>
        </is>
      </c>
      <c r="B196" s="4" t="n">
        <v>2</v>
      </c>
      <c r="C196" s="4" t="inlineStr">
        <is>
          <t>mule deer</t>
        </is>
      </c>
      <c r="D196" s="4" t="n">
        <v>2021</v>
      </c>
      <c r="E196" s="5" t="n">
        <v>230</v>
      </c>
      <c r="F196" s="5" t="n">
        <v>1882</v>
      </c>
      <c r="G196" s="5" t="n">
        <v>19</v>
      </c>
      <c r="H196" s="10">
        <f>IF(E196&gt;0,G196/E196,"")</f>
        <v/>
      </c>
      <c r="I196" s="11">
        <f>IF(AND(F196&gt;0,G196&gt;0),F196/G196,"")</f>
        <v/>
      </c>
    </row>
    <row r="197">
      <c r="A197" s="4" t="inlineStr">
        <is>
          <t>290</t>
        </is>
      </c>
      <c r="B197" s="4" t="n">
        <v>2</v>
      </c>
      <c r="C197" s="4" t="inlineStr">
        <is>
          <t>mule deer</t>
        </is>
      </c>
      <c r="D197" s="4" t="n">
        <v>2022</v>
      </c>
      <c r="E197" s="5" t="n"/>
      <c r="F197" s="5" t="n"/>
      <c r="G197" s="5" t="n">
        <v>26</v>
      </c>
      <c r="H197" s="10">
        <f>IF(E197&gt;0,G197/E197,"")</f>
        <v/>
      </c>
      <c r="I197" s="11">
        <f>IF(AND(F197&gt;0,G197&gt;0),F197/G197,"")</f>
        <v/>
      </c>
    </row>
    <row r="198">
      <c r="A198" s="4" t="inlineStr">
        <is>
          <t>290</t>
        </is>
      </c>
      <c r="B198" s="4" t="n">
        <v>2</v>
      </c>
      <c r="C198" s="4" t="inlineStr">
        <is>
          <t>mule deer</t>
        </is>
      </c>
      <c r="D198" s="4" t="n">
        <v>2023</v>
      </c>
      <c r="E198" s="5" t="n">
        <v>190</v>
      </c>
      <c r="F198" s="5" t="n">
        <v>1373</v>
      </c>
      <c r="G198" s="5" t="n">
        <v>20</v>
      </c>
      <c r="H198" s="10">
        <f>IF(E198&gt;0,G198/E198,"")</f>
        <v/>
      </c>
      <c r="I198" s="11">
        <f>IF(AND(F198&gt;0,G198&gt;0),F198/G198,"")</f>
        <v/>
      </c>
    </row>
    <row r="199">
      <c r="A199" s="4" t="inlineStr">
        <is>
          <t>290</t>
        </is>
      </c>
      <c r="B199" s="4" t="n">
        <v>2</v>
      </c>
      <c r="C199" s="4" t="inlineStr">
        <is>
          <t>mule deer</t>
        </is>
      </c>
      <c r="D199" s="4" t="n">
        <v>2024</v>
      </c>
      <c r="E199" s="5" t="n"/>
      <c r="F199" s="5" t="n"/>
      <c r="G199" s="5" t="n">
        <v>9</v>
      </c>
      <c r="H199" s="10">
        <f>IF(E199&gt;0,G199/E199,"")</f>
        <v/>
      </c>
      <c r="I199" s="11">
        <f>IF(AND(F199&gt;0,G199&gt;0),F199/G199,"")</f>
        <v/>
      </c>
    </row>
    <row r="200">
      <c r="A200" s="4" t="inlineStr">
        <is>
          <t>290</t>
        </is>
      </c>
      <c r="B200" s="4" t="n">
        <v>2</v>
      </c>
      <c r="C200" s="4" t="inlineStr">
        <is>
          <t>mule deer</t>
        </is>
      </c>
      <c r="D200" s="4" t="n">
        <v>2025</v>
      </c>
      <c r="E200" s="5" t="n">
        <v>317</v>
      </c>
      <c r="F200" s="5" t="n">
        <v>2325</v>
      </c>
      <c r="G200" s="5" t="n">
        <v>17</v>
      </c>
      <c r="H200" s="10">
        <f>IF(E200&gt;0,G200/E200,"")</f>
        <v/>
      </c>
      <c r="I200" s="11">
        <f>IF(AND(F200&gt;0,G200&gt;0),F200/G200,"")</f>
        <v/>
      </c>
    </row>
    <row r="201">
      <c r="A201" s="4" t="inlineStr">
        <is>
          <t>291</t>
        </is>
      </c>
      <c r="B201" s="4" t="n">
        <v>2</v>
      </c>
      <c r="C201" s="4" t="inlineStr">
        <is>
          <t>mule deer</t>
        </is>
      </c>
      <c r="D201" s="4" t="n">
        <v>2021</v>
      </c>
      <c r="E201" s="5" t="n">
        <v>362</v>
      </c>
      <c r="F201" s="5" t="n">
        <v>2121</v>
      </c>
      <c r="G201" s="5" t="n">
        <v>65</v>
      </c>
      <c r="H201" s="10">
        <f>IF(E201&gt;0,G201/E201,"")</f>
        <v/>
      </c>
      <c r="I201" s="11">
        <f>IF(AND(F201&gt;0,G201&gt;0),F201/G201,"")</f>
        <v/>
      </c>
    </row>
    <row r="202">
      <c r="A202" s="4" t="inlineStr">
        <is>
          <t>291</t>
        </is>
      </c>
      <c r="B202" s="4" t="n">
        <v>2</v>
      </c>
      <c r="C202" s="4" t="inlineStr">
        <is>
          <t>mule deer</t>
        </is>
      </c>
      <c r="D202" s="4" t="n">
        <v>2022</v>
      </c>
      <c r="E202" s="5" t="n"/>
      <c r="F202" s="5" t="n"/>
      <c r="G202" s="5" t="n">
        <v>39</v>
      </c>
      <c r="H202" s="10">
        <f>IF(E202&gt;0,G202/E202,"")</f>
        <v/>
      </c>
      <c r="I202" s="11">
        <f>IF(AND(F202&gt;0,G202&gt;0),F202/G202,"")</f>
        <v/>
      </c>
    </row>
    <row r="203">
      <c r="A203" s="4" t="inlineStr">
        <is>
          <t>291</t>
        </is>
      </c>
      <c r="B203" s="4" t="n">
        <v>2</v>
      </c>
      <c r="C203" s="4" t="inlineStr">
        <is>
          <t>mule deer</t>
        </is>
      </c>
      <c r="D203" s="4" t="n">
        <v>2023</v>
      </c>
      <c r="E203" s="5" t="n">
        <v>250</v>
      </c>
      <c r="F203" s="5" t="n">
        <v>1687</v>
      </c>
      <c r="G203" s="5" t="n">
        <v>44</v>
      </c>
      <c r="H203" s="10">
        <f>IF(E203&gt;0,G203/E203,"")</f>
        <v/>
      </c>
      <c r="I203" s="11">
        <f>IF(AND(F203&gt;0,G203&gt;0),F203/G203,"")</f>
        <v/>
      </c>
    </row>
    <row r="204">
      <c r="A204" s="4" t="inlineStr">
        <is>
          <t>291</t>
        </is>
      </c>
      <c r="B204" s="4" t="n">
        <v>2</v>
      </c>
      <c r="C204" s="4" t="inlineStr">
        <is>
          <t>mule deer</t>
        </is>
      </c>
      <c r="D204" s="4" t="n">
        <v>2024</v>
      </c>
      <c r="E204" s="5" t="n"/>
      <c r="F204" s="5" t="n"/>
      <c r="G204" s="5" t="n">
        <v>60</v>
      </c>
      <c r="H204" s="10">
        <f>IF(E204&gt;0,G204/E204,"")</f>
        <v/>
      </c>
      <c r="I204" s="11">
        <f>IF(AND(F204&gt;0,G204&gt;0),F204/G204,"")</f>
        <v/>
      </c>
    </row>
    <row r="205">
      <c r="A205" s="4" t="inlineStr">
        <is>
          <t>291</t>
        </is>
      </c>
      <c r="B205" s="4" t="n">
        <v>2</v>
      </c>
      <c r="C205" s="4" t="inlineStr">
        <is>
          <t>mule deer</t>
        </is>
      </c>
      <c r="D205" s="4" t="n">
        <v>2025</v>
      </c>
      <c r="E205" s="5" t="n">
        <v>377</v>
      </c>
      <c r="F205" s="5" t="n">
        <v>2128</v>
      </c>
      <c r="G205" s="5" t="n">
        <v>65</v>
      </c>
      <c r="H205" s="10">
        <f>IF(E205&gt;0,G205/E205,"")</f>
        <v/>
      </c>
      <c r="I205" s="11">
        <f>IF(AND(F205&gt;0,G205&gt;0),F205/G205,"")</f>
        <v/>
      </c>
    </row>
    <row r="206">
      <c r="A206" s="4" t="inlineStr">
        <is>
          <t>292</t>
        </is>
      </c>
      <c r="B206" s="4" t="n">
        <v>2</v>
      </c>
      <c r="C206" s="4" t="inlineStr">
        <is>
          <t>mule deer</t>
        </is>
      </c>
      <c r="D206" s="4" t="n">
        <v>2021</v>
      </c>
      <c r="E206" s="5" t="n">
        <v>1128</v>
      </c>
      <c r="F206" s="5" t="n">
        <v>6775</v>
      </c>
      <c r="G206" s="5" t="n">
        <v>149</v>
      </c>
      <c r="H206" s="10">
        <f>IF(E206&gt;0,G206/E206,"")</f>
        <v/>
      </c>
      <c r="I206" s="11">
        <f>IF(AND(F206&gt;0,G206&gt;0),F206/G206,"")</f>
        <v/>
      </c>
    </row>
    <row r="207">
      <c r="A207" s="4" t="inlineStr">
        <is>
          <t>292</t>
        </is>
      </c>
      <c r="B207" s="4" t="n">
        <v>2</v>
      </c>
      <c r="C207" s="4" t="inlineStr">
        <is>
          <t>mule deer</t>
        </is>
      </c>
      <c r="D207" s="4" t="n">
        <v>2022</v>
      </c>
      <c r="E207" s="5" t="n"/>
      <c r="F207" s="5" t="n"/>
      <c r="G207" s="5" t="n">
        <v>112</v>
      </c>
      <c r="H207" s="10">
        <f>IF(E207&gt;0,G207/E207,"")</f>
        <v/>
      </c>
      <c r="I207" s="11">
        <f>IF(AND(F207&gt;0,G207&gt;0),F207/G207,"")</f>
        <v/>
      </c>
    </row>
    <row r="208">
      <c r="A208" s="4" t="inlineStr">
        <is>
          <t>292</t>
        </is>
      </c>
      <c r="B208" s="4" t="n">
        <v>2</v>
      </c>
      <c r="C208" s="4" t="inlineStr">
        <is>
          <t>mule deer</t>
        </is>
      </c>
      <c r="D208" s="4" t="n">
        <v>2023</v>
      </c>
      <c r="E208" s="5" t="n">
        <v>1477</v>
      </c>
      <c r="F208" s="5" t="n">
        <v>8958</v>
      </c>
      <c r="G208" s="5" t="n">
        <v>158</v>
      </c>
      <c r="H208" s="10">
        <f>IF(E208&gt;0,G208/E208,"")</f>
        <v/>
      </c>
      <c r="I208" s="11">
        <f>IF(AND(F208&gt;0,G208&gt;0),F208/G208,"")</f>
        <v/>
      </c>
    </row>
    <row r="209">
      <c r="A209" s="4" t="inlineStr">
        <is>
          <t>292</t>
        </is>
      </c>
      <c r="B209" s="4" t="n">
        <v>2</v>
      </c>
      <c r="C209" s="4" t="inlineStr">
        <is>
          <t>mule deer</t>
        </is>
      </c>
      <c r="D209" s="4" t="n">
        <v>2024</v>
      </c>
      <c r="E209" s="5" t="n"/>
      <c r="F209" s="5" t="n"/>
      <c r="G209" s="5" t="n">
        <v>235</v>
      </c>
      <c r="H209" s="10">
        <f>IF(E209&gt;0,G209/E209,"")</f>
        <v/>
      </c>
      <c r="I209" s="11">
        <f>IF(AND(F209&gt;0,G209&gt;0),F209/G209,"")</f>
        <v/>
      </c>
    </row>
    <row r="210">
      <c r="A210" s="4" t="inlineStr">
        <is>
          <t>292</t>
        </is>
      </c>
      <c r="B210" s="4" t="n">
        <v>2</v>
      </c>
      <c r="C210" s="4" t="inlineStr">
        <is>
          <t>mule deer</t>
        </is>
      </c>
      <c r="D210" s="4" t="n">
        <v>2025</v>
      </c>
      <c r="E210" s="5" t="n">
        <v>1492</v>
      </c>
      <c r="F210" s="5" t="n">
        <v>9373</v>
      </c>
      <c r="G210" s="5" t="n">
        <v>242</v>
      </c>
      <c r="H210" s="10">
        <f>IF(E210&gt;0,G210/E210,"")</f>
        <v/>
      </c>
      <c r="I210" s="11">
        <f>IF(AND(F210&gt;0,G210&gt;0),F210/G210,"")</f>
        <v/>
      </c>
    </row>
    <row r="211">
      <c r="A211" s="4" t="inlineStr">
        <is>
          <t>293</t>
        </is>
      </c>
      <c r="B211" s="4" t="n">
        <v>2</v>
      </c>
      <c r="C211" s="4" t="inlineStr">
        <is>
          <t>mule deer</t>
        </is>
      </c>
      <c r="D211" s="4" t="n">
        <v>2021</v>
      </c>
      <c r="E211" s="5" t="n">
        <v>977</v>
      </c>
      <c r="F211" s="5" t="n">
        <v>6663</v>
      </c>
      <c r="G211" s="5" t="n">
        <v>50</v>
      </c>
      <c r="H211" s="10">
        <f>IF(E211&gt;0,G211/E211,"")</f>
        <v/>
      </c>
      <c r="I211" s="11">
        <f>IF(AND(F211&gt;0,G211&gt;0),F211/G211,"")</f>
        <v/>
      </c>
    </row>
    <row r="212">
      <c r="A212" s="4" t="inlineStr">
        <is>
          <t>293</t>
        </is>
      </c>
      <c r="B212" s="4" t="n">
        <v>2</v>
      </c>
      <c r="C212" s="4" t="inlineStr">
        <is>
          <t>mule deer</t>
        </is>
      </c>
      <c r="D212" s="4" t="n">
        <v>2022</v>
      </c>
      <c r="E212" s="5" t="n"/>
      <c r="F212" s="5" t="n"/>
      <c r="G212" s="5" t="n">
        <v>81</v>
      </c>
      <c r="H212" s="10">
        <f>IF(E212&gt;0,G212/E212,"")</f>
        <v/>
      </c>
      <c r="I212" s="11">
        <f>IF(AND(F212&gt;0,G212&gt;0),F212/G212,"")</f>
        <v/>
      </c>
    </row>
    <row r="213">
      <c r="A213" s="4" t="inlineStr">
        <is>
          <t>293</t>
        </is>
      </c>
      <c r="B213" s="4" t="n">
        <v>2</v>
      </c>
      <c r="C213" s="4" t="inlineStr">
        <is>
          <t>mule deer</t>
        </is>
      </c>
      <c r="D213" s="4" t="n">
        <v>2023</v>
      </c>
      <c r="E213" s="5" t="n">
        <v>1061</v>
      </c>
      <c r="F213" s="5" t="n">
        <v>7106</v>
      </c>
      <c r="G213" s="5" t="n">
        <v>83</v>
      </c>
      <c r="H213" s="10">
        <f>IF(E213&gt;0,G213/E213,"")</f>
        <v/>
      </c>
      <c r="I213" s="11">
        <f>IF(AND(F213&gt;0,G213&gt;0),F213/G213,"")</f>
        <v/>
      </c>
    </row>
    <row r="214">
      <c r="A214" s="4" t="inlineStr">
        <is>
          <t>293</t>
        </is>
      </c>
      <c r="B214" s="4" t="n">
        <v>2</v>
      </c>
      <c r="C214" s="4" t="inlineStr">
        <is>
          <t>mule deer</t>
        </is>
      </c>
      <c r="D214" s="4" t="n">
        <v>2024</v>
      </c>
      <c r="E214" s="5" t="n"/>
      <c r="F214" s="5" t="n"/>
      <c r="G214" s="5" t="n">
        <v>60</v>
      </c>
      <c r="H214" s="10">
        <f>IF(E214&gt;0,G214/E214,"")</f>
        <v/>
      </c>
      <c r="I214" s="11">
        <f>IF(AND(F214&gt;0,G214&gt;0),F214/G214,"")</f>
        <v/>
      </c>
    </row>
    <row r="215">
      <c r="A215" s="4" t="inlineStr">
        <is>
          <t>293</t>
        </is>
      </c>
      <c r="B215" s="4" t="n">
        <v>2</v>
      </c>
      <c r="C215" s="4" t="inlineStr">
        <is>
          <t>mule deer</t>
        </is>
      </c>
      <c r="D215" s="4" t="n">
        <v>2025</v>
      </c>
      <c r="E215" s="5" t="n">
        <v>1065</v>
      </c>
      <c r="F215" s="5" t="n">
        <v>7835</v>
      </c>
      <c r="G215" s="5" t="n">
        <v>66</v>
      </c>
      <c r="H215" s="10">
        <f>IF(E215&gt;0,G215/E215,"")</f>
        <v/>
      </c>
      <c r="I215" s="11">
        <f>IF(AND(F215&gt;0,G215&gt;0),F215/G215,"")</f>
        <v/>
      </c>
    </row>
    <row r="216">
      <c r="A216" s="4" t="inlineStr">
        <is>
          <t>298</t>
        </is>
      </c>
      <c r="B216" s="4" t="n">
        <v>2</v>
      </c>
      <c r="C216" s="4" t="inlineStr">
        <is>
          <t>mule deer</t>
        </is>
      </c>
      <c r="D216" s="4" t="n">
        <v>2021</v>
      </c>
      <c r="E216" s="5" t="n">
        <v>177</v>
      </c>
      <c r="F216" s="5" t="n">
        <v>1077</v>
      </c>
      <c r="G216" s="5" t="n">
        <v>12</v>
      </c>
      <c r="H216" s="10">
        <f>IF(E216&gt;0,G216/E216,"")</f>
        <v/>
      </c>
      <c r="I216" s="11">
        <f>IF(AND(F216&gt;0,G216&gt;0),F216/G216,"")</f>
        <v/>
      </c>
    </row>
    <row r="217">
      <c r="A217" s="4" t="inlineStr">
        <is>
          <t>298</t>
        </is>
      </c>
      <c r="B217" s="4" t="n">
        <v>2</v>
      </c>
      <c r="C217" s="4" t="inlineStr">
        <is>
          <t>mule deer</t>
        </is>
      </c>
      <c r="D217" s="4" t="n">
        <v>2022</v>
      </c>
      <c r="E217" s="5" t="n"/>
      <c r="F217" s="5" t="n"/>
      <c r="G217" s="5" t="n">
        <v>17</v>
      </c>
      <c r="H217" s="10">
        <f>IF(E217&gt;0,G217/E217,"")</f>
        <v/>
      </c>
      <c r="I217" s="11">
        <f>IF(AND(F217&gt;0,G217&gt;0),F217/G217,"")</f>
        <v/>
      </c>
    </row>
    <row r="218">
      <c r="A218" s="4" t="inlineStr">
        <is>
          <t>298</t>
        </is>
      </c>
      <c r="B218" s="4" t="n">
        <v>2</v>
      </c>
      <c r="C218" s="4" t="inlineStr">
        <is>
          <t>mule deer</t>
        </is>
      </c>
      <c r="D218" s="4" t="n">
        <v>2023</v>
      </c>
      <c r="E218" s="5" t="n">
        <v>217</v>
      </c>
      <c r="F218" s="5" t="n">
        <v>1243</v>
      </c>
      <c r="G218" s="5" t="n">
        <v>20</v>
      </c>
      <c r="H218" s="10">
        <f>IF(E218&gt;0,G218/E218,"")</f>
        <v/>
      </c>
      <c r="I218" s="11">
        <f>IF(AND(F218&gt;0,G218&gt;0),F218/G218,"")</f>
        <v/>
      </c>
    </row>
    <row r="219">
      <c r="A219" s="4" t="inlineStr">
        <is>
          <t>298</t>
        </is>
      </c>
      <c r="B219" s="4" t="n">
        <v>2</v>
      </c>
      <c r="C219" s="4" t="inlineStr">
        <is>
          <t>mule deer</t>
        </is>
      </c>
      <c r="D219" s="4" t="n">
        <v>2024</v>
      </c>
      <c r="E219" s="5" t="n"/>
      <c r="F219" s="5" t="n"/>
      <c r="G219" s="5" t="n">
        <v>28</v>
      </c>
      <c r="H219" s="10">
        <f>IF(E219&gt;0,G219/E219,"")</f>
        <v/>
      </c>
      <c r="I219" s="11">
        <f>IF(AND(F219&gt;0,G219&gt;0),F219/G219,"")</f>
        <v/>
      </c>
    </row>
    <row r="220">
      <c r="A220" s="4" t="inlineStr">
        <is>
          <t>298</t>
        </is>
      </c>
      <c r="B220" s="4" t="n">
        <v>2</v>
      </c>
      <c r="C220" s="4" t="inlineStr">
        <is>
          <t>mule deer</t>
        </is>
      </c>
      <c r="D220" s="4" t="n">
        <v>2025</v>
      </c>
      <c r="E220" s="5" t="n">
        <v>286</v>
      </c>
      <c r="F220" s="5" t="n">
        <v>1663</v>
      </c>
      <c r="G220" s="5" t="n">
        <v>42</v>
      </c>
      <c r="H220" s="10">
        <f>IF(E220&gt;0,G220/E220,"")</f>
        <v/>
      </c>
      <c r="I220" s="11">
        <f>IF(AND(F220&gt;0,G220&gt;0),F220/G220,"")</f>
        <v/>
      </c>
    </row>
    <row r="221">
      <c r="A221" s="4" t="inlineStr">
        <is>
          <t>300</t>
        </is>
      </c>
      <c r="B221" s="4" t="n">
        <v>3</v>
      </c>
      <c r="C221" s="4" t="inlineStr">
        <is>
          <t>mule deer</t>
        </is>
      </c>
      <c r="D221" s="4" t="n">
        <v>2021</v>
      </c>
      <c r="E221" s="5" t="n">
        <v>653</v>
      </c>
      <c r="F221" s="5" t="n">
        <v>4641</v>
      </c>
      <c r="G221" s="5" t="n">
        <v>129</v>
      </c>
      <c r="H221" s="10">
        <f>IF(E221&gt;0,G221/E221,"")</f>
        <v/>
      </c>
      <c r="I221" s="11">
        <f>IF(AND(F221&gt;0,G221&gt;0),F221/G221,"")</f>
        <v/>
      </c>
    </row>
    <row r="222">
      <c r="A222" s="4" t="inlineStr">
        <is>
          <t>301</t>
        </is>
      </c>
      <c r="B222" s="4" t="n">
        <v>3</v>
      </c>
      <c r="C222" s="4" t="inlineStr">
        <is>
          <t>mule deer</t>
        </is>
      </c>
      <c r="D222" s="4" t="n">
        <v>2021</v>
      </c>
      <c r="E222" s="5" t="n">
        <v>704</v>
      </c>
      <c r="F222" s="5" t="n">
        <v>4334</v>
      </c>
      <c r="G222" s="5" t="n">
        <v>76</v>
      </c>
      <c r="H222" s="10">
        <f>IF(E222&gt;0,G222/E222,"")</f>
        <v/>
      </c>
      <c r="I222" s="11">
        <f>IF(AND(F222&gt;0,G222&gt;0),F222/G222,"")</f>
        <v/>
      </c>
    </row>
    <row r="223">
      <c r="A223" s="4" t="inlineStr">
        <is>
          <t>301</t>
        </is>
      </c>
      <c r="B223" s="4" t="n">
        <v>3</v>
      </c>
      <c r="C223" s="4" t="inlineStr">
        <is>
          <t>mule deer</t>
        </is>
      </c>
      <c r="D223" s="4" t="n">
        <v>2022</v>
      </c>
      <c r="E223" s="5" t="n"/>
      <c r="F223" s="5" t="n"/>
      <c r="G223" s="5" t="n">
        <v>105</v>
      </c>
      <c r="H223" s="10">
        <f>IF(E223&gt;0,G223/E223,"")</f>
        <v/>
      </c>
      <c r="I223" s="11">
        <f>IF(AND(F223&gt;0,G223&gt;0),F223/G223,"")</f>
        <v/>
      </c>
    </row>
    <row r="224">
      <c r="A224" s="4" t="inlineStr">
        <is>
          <t>301</t>
        </is>
      </c>
      <c r="B224" s="4" t="n">
        <v>3</v>
      </c>
      <c r="C224" s="4" t="inlineStr">
        <is>
          <t>mule deer</t>
        </is>
      </c>
      <c r="D224" s="4" t="n">
        <v>2023</v>
      </c>
      <c r="E224" s="5" t="n">
        <v>952</v>
      </c>
      <c r="F224" s="5" t="n">
        <v>6492</v>
      </c>
      <c r="G224" s="5" t="n">
        <v>102</v>
      </c>
      <c r="H224" s="10">
        <f>IF(E224&gt;0,G224/E224,"")</f>
        <v/>
      </c>
      <c r="I224" s="11">
        <f>IF(AND(F224&gt;0,G224&gt;0),F224/G224,"")</f>
        <v/>
      </c>
    </row>
    <row r="225">
      <c r="A225" s="4" t="inlineStr">
        <is>
          <t>301</t>
        </is>
      </c>
      <c r="B225" s="4" t="n">
        <v>3</v>
      </c>
      <c r="C225" s="4" t="inlineStr">
        <is>
          <t>mule deer</t>
        </is>
      </c>
      <c r="D225" s="4" t="n">
        <v>2024</v>
      </c>
      <c r="E225" s="5" t="n"/>
      <c r="F225" s="5" t="n"/>
      <c r="G225" s="5" t="n">
        <v>99</v>
      </c>
      <c r="H225" s="10">
        <f>IF(E225&gt;0,G225/E225,"")</f>
        <v/>
      </c>
      <c r="I225" s="11">
        <f>IF(AND(F225&gt;0,G225&gt;0),F225/G225,"")</f>
        <v/>
      </c>
    </row>
    <row r="226">
      <c r="A226" s="4" t="inlineStr">
        <is>
          <t>301</t>
        </is>
      </c>
      <c r="B226" s="4" t="n">
        <v>3</v>
      </c>
      <c r="C226" s="4" t="inlineStr">
        <is>
          <t>mule deer</t>
        </is>
      </c>
      <c r="D226" s="4" t="n">
        <v>2025</v>
      </c>
      <c r="E226" s="5" t="n">
        <v>1106</v>
      </c>
      <c r="F226" s="5" t="n">
        <v>6509</v>
      </c>
      <c r="G226" s="5" t="n">
        <v>146</v>
      </c>
      <c r="H226" s="10">
        <f>IF(E226&gt;0,G226/E226,"")</f>
        <v/>
      </c>
      <c r="I226" s="11">
        <f>IF(AND(F226&gt;0,G226&gt;0),F226/G226,"")</f>
        <v/>
      </c>
    </row>
    <row r="227">
      <c r="A227" s="4" t="inlineStr">
        <is>
          <t>302</t>
        </is>
      </c>
      <c r="B227" s="4" t="n">
        <v>3</v>
      </c>
      <c r="C227" s="4" t="inlineStr">
        <is>
          <t>mule deer</t>
        </is>
      </c>
      <c r="D227" s="4" t="n">
        <v>2021</v>
      </c>
      <c r="E227" s="5" t="n">
        <v>726</v>
      </c>
      <c r="F227" s="5" t="n">
        <v>4422</v>
      </c>
      <c r="G227" s="5" t="n">
        <v>183</v>
      </c>
      <c r="H227" s="10">
        <f>IF(E227&gt;0,G227/E227,"")</f>
        <v/>
      </c>
      <c r="I227" s="11">
        <f>IF(AND(F227&gt;0,G227&gt;0),F227/G227,"")</f>
        <v/>
      </c>
    </row>
    <row r="228">
      <c r="A228" s="4" t="inlineStr">
        <is>
          <t>302</t>
        </is>
      </c>
      <c r="B228" s="4" t="n">
        <v>3</v>
      </c>
      <c r="C228" s="4" t="inlineStr">
        <is>
          <t>mule deer</t>
        </is>
      </c>
      <c r="D228" s="4" t="n">
        <v>2022</v>
      </c>
      <c r="E228" s="5" t="n"/>
      <c r="F228" s="5" t="n"/>
      <c r="G228" s="5" t="n">
        <v>130</v>
      </c>
      <c r="H228" s="10">
        <f>IF(E228&gt;0,G228/E228,"")</f>
        <v/>
      </c>
      <c r="I228" s="11">
        <f>IF(AND(F228&gt;0,G228&gt;0),F228/G228,"")</f>
        <v/>
      </c>
    </row>
    <row r="229">
      <c r="A229" s="4" t="inlineStr">
        <is>
          <t>302</t>
        </is>
      </c>
      <c r="B229" s="4" t="n">
        <v>3</v>
      </c>
      <c r="C229" s="4" t="inlineStr">
        <is>
          <t>mule deer</t>
        </is>
      </c>
      <c r="D229" s="4" t="n">
        <v>2023</v>
      </c>
      <c r="E229" s="5" t="n">
        <v>764</v>
      </c>
      <c r="F229" s="5" t="n">
        <v>4757</v>
      </c>
      <c r="G229" s="5" t="n">
        <v>140</v>
      </c>
      <c r="H229" s="10">
        <f>IF(E229&gt;0,G229/E229,"")</f>
        <v/>
      </c>
      <c r="I229" s="11">
        <f>IF(AND(F229&gt;0,G229&gt;0),F229/G229,"")</f>
        <v/>
      </c>
    </row>
    <row r="230">
      <c r="A230" s="4" t="inlineStr">
        <is>
          <t>302</t>
        </is>
      </c>
      <c r="B230" s="4" t="n">
        <v>3</v>
      </c>
      <c r="C230" s="4" t="inlineStr">
        <is>
          <t>mule deer</t>
        </is>
      </c>
      <c r="D230" s="4" t="n">
        <v>2024</v>
      </c>
      <c r="E230" s="5" t="n"/>
      <c r="F230" s="5" t="n"/>
      <c r="G230" s="5" t="n">
        <v>194</v>
      </c>
      <c r="H230" s="10">
        <f>IF(E230&gt;0,G230/E230,"")</f>
        <v/>
      </c>
      <c r="I230" s="11">
        <f>IF(AND(F230&gt;0,G230&gt;0),F230/G230,"")</f>
        <v/>
      </c>
    </row>
    <row r="231">
      <c r="A231" s="4" t="inlineStr">
        <is>
          <t>302</t>
        </is>
      </c>
      <c r="B231" s="4" t="n">
        <v>3</v>
      </c>
      <c r="C231" s="4" t="inlineStr">
        <is>
          <t>mule deer</t>
        </is>
      </c>
      <c r="D231" s="4" t="n">
        <v>2025</v>
      </c>
      <c r="E231" s="5" t="n">
        <v>960</v>
      </c>
      <c r="F231" s="5" t="n">
        <v>7112</v>
      </c>
      <c r="G231" s="5" t="n">
        <v>232</v>
      </c>
      <c r="H231" s="10">
        <f>IF(E231&gt;0,G231/E231,"")</f>
        <v/>
      </c>
      <c r="I231" s="11">
        <f>IF(AND(F231&gt;0,G231&gt;0),F231/G231,"")</f>
        <v/>
      </c>
    </row>
    <row r="232">
      <c r="A232" s="4" t="inlineStr">
        <is>
          <t>303</t>
        </is>
      </c>
      <c r="B232" s="4" t="n">
        <v>3</v>
      </c>
      <c r="C232" s="4" t="inlineStr">
        <is>
          <t>mule deer</t>
        </is>
      </c>
      <c r="D232" s="4" t="n">
        <v>2022</v>
      </c>
      <c r="E232" s="5" t="n"/>
      <c r="F232" s="5" t="n"/>
      <c r="G232" s="5" t="n">
        <v>68</v>
      </c>
      <c r="H232" s="10">
        <f>IF(E232&gt;0,G232/E232,"")</f>
        <v/>
      </c>
      <c r="I232" s="11">
        <f>IF(AND(F232&gt;0,G232&gt;0),F232/G232,"")</f>
        <v/>
      </c>
    </row>
    <row r="233">
      <c r="A233" s="4" t="inlineStr">
        <is>
          <t>303</t>
        </is>
      </c>
      <c r="B233" s="4" t="n">
        <v>3</v>
      </c>
      <c r="C233" s="4" t="inlineStr">
        <is>
          <t>mule deer</t>
        </is>
      </c>
      <c r="D233" s="4" t="n">
        <v>2023</v>
      </c>
      <c r="E233" s="5" t="n">
        <v>327</v>
      </c>
      <c r="F233" s="5" t="n">
        <v>2125</v>
      </c>
      <c r="G233" s="5" t="n">
        <v>78</v>
      </c>
      <c r="H233" s="10">
        <f>IF(E233&gt;0,G233/E233,"")</f>
        <v/>
      </c>
      <c r="I233" s="11">
        <f>IF(AND(F233&gt;0,G233&gt;0),F233/G233,"")</f>
        <v/>
      </c>
    </row>
    <row r="234">
      <c r="A234" s="4" t="inlineStr">
        <is>
          <t>303</t>
        </is>
      </c>
      <c r="B234" s="4" t="n">
        <v>3</v>
      </c>
      <c r="C234" s="4" t="inlineStr">
        <is>
          <t>mule deer</t>
        </is>
      </c>
      <c r="D234" s="4" t="n">
        <v>2024</v>
      </c>
      <c r="E234" s="5" t="n"/>
      <c r="F234" s="5" t="n"/>
      <c r="G234" s="5" t="n">
        <v>50</v>
      </c>
      <c r="H234" s="10">
        <f>IF(E234&gt;0,G234/E234,"")</f>
        <v/>
      </c>
      <c r="I234" s="11">
        <f>IF(AND(F234&gt;0,G234&gt;0),F234/G234,"")</f>
        <v/>
      </c>
    </row>
    <row r="235">
      <c r="A235" s="4" t="inlineStr">
        <is>
          <t>303</t>
        </is>
      </c>
      <c r="B235" s="4" t="n">
        <v>3</v>
      </c>
      <c r="C235" s="4" t="inlineStr">
        <is>
          <t>mule deer</t>
        </is>
      </c>
      <c r="D235" s="4" t="n">
        <v>2025</v>
      </c>
      <c r="E235" s="5" t="n">
        <v>348</v>
      </c>
      <c r="F235" s="5" t="n">
        <v>2477</v>
      </c>
      <c r="G235" s="5" t="n">
        <v>47</v>
      </c>
      <c r="H235" s="10">
        <f>IF(E235&gt;0,G235/E235,"")</f>
        <v/>
      </c>
      <c r="I235" s="11">
        <f>IF(AND(F235&gt;0,G235&gt;0),F235/G235,"")</f>
        <v/>
      </c>
    </row>
    <row r="236">
      <c r="A236" s="4" t="inlineStr">
        <is>
          <t>304</t>
        </is>
      </c>
      <c r="B236" s="4" t="n">
        <v>3</v>
      </c>
      <c r="C236" s="4" t="inlineStr">
        <is>
          <t>mule deer</t>
        </is>
      </c>
      <c r="D236" s="4" t="n">
        <v>2022</v>
      </c>
      <c r="E236" s="5" t="n"/>
      <c r="F236" s="5" t="n"/>
      <c r="G236" s="5" t="n">
        <v>108</v>
      </c>
      <c r="H236" s="10">
        <f>IF(E236&gt;0,G236/E236,"")</f>
        <v/>
      </c>
      <c r="I236" s="11">
        <f>IF(AND(F236&gt;0,G236&gt;0),F236/G236,"")</f>
        <v/>
      </c>
    </row>
    <row r="237">
      <c r="A237" s="4" t="inlineStr">
        <is>
          <t>304</t>
        </is>
      </c>
      <c r="B237" s="4" t="n">
        <v>3</v>
      </c>
      <c r="C237" s="4" t="inlineStr">
        <is>
          <t>mule deer</t>
        </is>
      </c>
      <c r="D237" s="4" t="n">
        <v>2023</v>
      </c>
      <c r="E237" s="5" t="n">
        <v>490</v>
      </c>
      <c r="F237" s="5" t="n">
        <v>2685</v>
      </c>
      <c r="G237" s="5" t="n">
        <v>63</v>
      </c>
      <c r="H237" s="10">
        <f>IF(E237&gt;0,G237/E237,"")</f>
        <v/>
      </c>
      <c r="I237" s="11">
        <f>IF(AND(F237&gt;0,G237&gt;0),F237/G237,"")</f>
        <v/>
      </c>
    </row>
    <row r="238">
      <c r="A238" s="4" t="inlineStr">
        <is>
          <t>304</t>
        </is>
      </c>
      <c r="B238" s="4" t="n">
        <v>3</v>
      </c>
      <c r="C238" s="4" t="inlineStr">
        <is>
          <t>mule deer</t>
        </is>
      </c>
      <c r="D238" s="4" t="n">
        <v>2024</v>
      </c>
      <c r="E238" s="5" t="n"/>
      <c r="F238" s="5" t="n"/>
      <c r="G238" s="5" t="n">
        <v>103</v>
      </c>
      <c r="H238" s="10">
        <f>IF(E238&gt;0,G238/E238,"")</f>
        <v/>
      </c>
      <c r="I238" s="11">
        <f>IF(AND(F238&gt;0,G238&gt;0),F238/G238,"")</f>
        <v/>
      </c>
    </row>
    <row r="239">
      <c r="A239" s="4" t="inlineStr">
        <is>
          <t>304</t>
        </is>
      </c>
      <c r="B239" s="4" t="n">
        <v>3</v>
      </c>
      <c r="C239" s="4" t="inlineStr">
        <is>
          <t>mule deer</t>
        </is>
      </c>
      <c r="D239" s="4" t="n">
        <v>2025</v>
      </c>
      <c r="E239" s="5" t="n">
        <v>462</v>
      </c>
      <c r="F239" s="5" t="n">
        <v>2772</v>
      </c>
      <c r="G239" s="5" t="n">
        <v>74</v>
      </c>
      <c r="H239" s="10">
        <f>IF(E239&gt;0,G239/E239,"")</f>
        <v/>
      </c>
      <c r="I239" s="11">
        <f>IF(AND(F239&gt;0,G239&gt;0),F239/G239,"")</f>
        <v/>
      </c>
    </row>
    <row r="240">
      <c r="A240" s="4" t="inlineStr">
        <is>
          <t>309</t>
        </is>
      </c>
      <c r="B240" s="4" t="n">
        <v>3</v>
      </c>
      <c r="C240" s="4" t="inlineStr">
        <is>
          <t>mule deer</t>
        </is>
      </c>
      <c r="D240" s="4" t="n">
        <v>2021</v>
      </c>
      <c r="E240" s="5" t="n">
        <v>764</v>
      </c>
      <c r="F240" s="5" t="n">
        <v>4932</v>
      </c>
      <c r="G240" s="5" t="n">
        <v>21</v>
      </c>
      <c r="H240" s="10">
        <f>IF(E240&gt;0,G240/E240,"")</f>
        <v/>
      </c>
      <c r="I240" s="11">
        <f>IF(AND(F240&gt;0,G240&gt;0),F240/G240,"")</f>
        <v/>
      </c>
    </row>
    <row r="241">
      <c r="A241" s="4" t="inlineStr">
        <is>
          <t>309</t>
        </is>
      </c>
      <c r="B241" s="4" t="n">
        <v>3</v>
      </c>
      <c r="C241" s="4" t="inlineStr">
        <is>
          <t>mule deer</t>
        </is>
      </c>
      <c r="D241" s="4" t="n">
        <v>2022</v>
      </c>
      <c r="E241" s="5" t="n"/>
      <c r="F241" s="5" t="n"/>
      <c r="G241" s="5" t="n">
        <v>33</v>
      </c>
      <c r="H241" s="10">
        <f>IF(E241&gt;0,G241/E241,"")</f>
        <v/>
      </c>
      <c r="I241" s="11">
        <f>IF(AND(F241&gt;0,G241&gt;0),F241/G241,"")</f>
        <v/>
      </c>
    </row>
    <row r="242">
      <c r="A242" s="4" t="inlineStr">
        <is>
          <t>309</t>
        </is>
      </c>
      <c r="B242" s="4" t="n">
        <v>3</v>
      </c>
      <c r="C242" s="4" t="inlineStr">
        <is>
          <t>mule deer</t>
        </is>
      </c>
      <c r="D242" s="4" t="n">
        <v>2023</v>
      </c>
      <c r="E242" s="5" t="n">
        <v>627</v>
      </c>
      <c r="F242" s="5" t="n">
        <v>4167</v>
      </c>
      <c r="G242" s="5" t="n">
        <v>23</v>
      </c>
      <c r="H242" s="10">
        <f>IF(E242&gt;0,G242/E242,"")</f>
        <v/>
      </c>
      <c r="I242" s="11">
        <f>IF(AND(F242&gt;0,G242&gt;0),F242/G242,"")</f>
        <v/>
      </c>
    </row>
    <row r="243">
      <c r="A243" s="4" t="inlineStr">
        <is>
          <t>309</t>
        </is>
      </c>
      <c r="B243" s="4" t="n">
        <v>3</v>
      </c>
      <c r="C243" s="4" t="inlineStr">
        <is>
          <t>mule deer</t>
        </is>
      </c>
      <c r="D243" s="4" t="n">
        <v>2024</v>
      </c>
      <c r="E243" s="5" t="n"/>
      <c r="F243" s="5" t="n"/>
      <c r="G243" s="5" t="n">
        <v>40</v>
      </c>
      <c r="H243" s="10">
        <f>IF(E243&gt;0,G243/E243,"")</f>
        <v/>
      </c>
      <c r="I243" s="11">
        <f>IF(AND(F243&gt;0,G243&gt;0),F243/G243,"")</f>
        <v/>
      </c>
    </row>
    <row r="244">
      <c r="A244" s="4" t="inlineStr">
        <is>
          <t>309</t>
        </is>
      </c>
      <c r="B244" s="4" t="n">
        <v>3</v>
      </c>
      <c r="C244" s="4" t="inlineStr">
        <is>
          <t>mule deer</t>
        </is>
      </c>
      <c r="D244" s="4" t="n">
        <v>2025</v>
      </c>
      <c r="E244" s="5" t="n">
        <v>802</v>
      </c>
      <c r="F244" s="5" t="n">
        <v>5389</v>
      </c>
      <c r="G244" s="5" t="n">
        <v>68</v>
      </c>
      <c r="H244" s="10">
        <f>IF(E244&gt;0,G244/E244,"")</f>
        <v/>
      </c>
      <c r="I244" s="11">
        <f>IF(AND(F244&gt;0,G244&gt;0),F244/G244,"")</f>
        <v/>
      </c>
    </row>
    <row r="245">
      <c r="A245" s="4" t="inlineStr">
        <is>
          <t>310</t>
        </is>
      </c>
      <c r="B245" s="4" t="n">
        <v>3</v>
      </c>
      <c r="C245" s="4" t="inlineStr">
        <is>
          <t>mule deer</t>
        </is>
      </c>
      <c r="D245" s="4" t="n">
        <v>2021</v>
      </c>
      <c r="E245" s="5" t="n">
        <v>295</v>
      </c>
      <c r="F245" s="5" t="n">
        <v>1884</v>
      </c>
      <c r="G245" s="5" t="n">
        <v>31</v>
      </c>
      <c r="H245" s="10">
        <f>IF(E245&gt;0,G245/E245,"")</f>
        <v/>
      </c>
      <c r="I245" s="11">
        <f>IF(AND(F245&gt;0,G245&gt;0),F245/G245,"")</f>
        <v/>
      </c>
    </row>
    <row r="246">
      <c r="A246" s="4" t="inlineStr">
        <is>
          <t>310</t>
        </is>
      </c>
      <c r="B246" s="4" t="n">
        <v>3</v>
      </c>
      <c r="C246" s="4" t="inlineStr">
        <is>
          <t>mule deer</t>
        </is>
      </c>
      <c r="D246" s="4" t="n">
        <v>2022</v>
      </c>
      <c r="E246" s="5" t="n"/>
      <c r="F246" s="5" t="n"/>
      <c r="G246" s="5" t="n">
        <v>32</v>
      </c>
      <c r="H246" s="10">
        <f>IF(E246&gt;0,G246/E246,"")</f>
        <v/>
      </c>
      <c r="I246" s="11">
        <f>IF(AND(F246&gt;0,G246&gt;0),F246/G246,"")</f>
        <v/>
      </c>
    </row>
    <row r="247">
      <c r="A247" s="4" t="inlineStr">
        <is>
          <t>310</t>
        </is>
      </c>
      <c r="B247" s="4" t="n">
        <v>3</v>
      </c>
      <c r="C247" s="4" t="inlineStr">
        <is>
          <t>mule deer</t>
        </is>
      </c>
      <c r="D247" s="4" t="n">
        <v>2023</v>
      </c>
      <c r="E247" s="5" t="n">
        <v>504</v>
      </c>
      <c r="F247" s="5" t="n">
        <v>3778</v>
      </c>
      <c r="G247" s="5" t="n">
        <v>55</v>
      </c>
      <c r="H247" s="10">
        <f>IF(E247&gt;0,G247/E247,"")</f>
        <v/>
      </c>
      <c r="I247" s="11">
        <f>IF(AND(F247&gt;0,G247&gt;0),F247/G247,"")</f>
        <v/>
      </c>
    </row>
    <row r="248">
      <c r="A248" s="4" t="inlineStr">
        <is>
          <t>310</t>
        </is>
      </c>
      <c r="B248" s="4" t="n">
        <v>3</v>
      </c>
      <c r="C248" s="4" t="inlineStr">
        <is>
          <t>mule deer</t>
        </is>
      </c>
      <c r="D248" s="4" t="n">
        <v>2024</v>
      </c>
      <c r="E248" s="5" t="n"/>
      <c r="F248" s="5" t="n"/>
      <c r="G248" s="5" t="n">
        <v>39</v>
      </c>
      <c r="H248" s="10">
        <f>IF(E248&gt;0,G248/E248,"")</f>
        <v/>
      </c>
      <c r="I248" s="11">
        <f>IF(AND(F248&gt;0,G248&gt;0),F248/G248,"")</f>
        <v/>
      </c>
    </row>
    <row r="249">
      <c r="A249" s="4" t="inlineStr">
        <is>
          <t>310</t>
        </is>
      </c>
      <c r="B249" s="4" t="n">
        <v>3</v>
      </c>
      <c r="C249" s="4" t="inlineStr">
        <is>
          <t>mule deer</t>
        </is>
      </c>
      <c r="D249" s="4" t="n">
        <v>2025</v>
      </c>
      <c r="E249" s="5" t="n">
        <v>527</v>
      </c>
      <c r="F249" s="5" t="n">
        <v>3514</v>
      </c>
      <c r="G249" s="5" t="n">
        <v>37</v>
      </c>
      <c r="H249" s="10">
        <f>IF(E249&gt;0,G249/E249,"")</f>
        <v/>
      </c>
      <c r="I249" s="11">
        <f>IF(AND(F249&gt;0,G249&gt;0),F249/G249,"")</f>
        <v/>
      </c>
    </row>
    <row r="250">
      <c r="A250" s="4" t="inlineStr">
        <is>
          <t>311</t>
        </is>
      </c>
      <c r="B250" s="4" t="n">
        <v>3</v>
      </c>
      <c r="C250" s="4" t="inlineStr">
        <is>
          <t>mule deer</t>
        </is>
      </c>
      <c r="D250" s="4" t="n">
        <v>2021</v>
      </c>
      <c r="E250" s="5" t="n">
        <v>1928</v>
      </c>
      <c r="F250" s="5" t="n">
        <v>12380</v>
      </c>
      <c r="G250" s="5" t="n">
        <v>413</v>
      </c>
      <c r="H250" s="10">
        <f>IF(E250&gt;0,G250/E250,"")</f>
        <v/>
      </c>
      <c r="I250" s="11">
        <f>IF(AND(F250&gt;0,G250&gt;0),F250/G250,"")</f>
        <v/>
      </c>
    </row>
    <row r="251">
      <c r="A251" s="4" t="inlineStr">
        <is>
          <t>311</t>
        </is>
      </c>
      <c r="B251" s="4" t="n">
        <v>3</v>
      </c>
      <c r="C251" s="4" t="inlineStr">
        <is>
          <t>mule deer</t>
        </is>
      </c>
      <c r="D251" s="4" t="n">
        <v>2022</v>
      </c>
      <c r="E251" s="5" t="n"/>
      <c r="F251" s="5" t="n"/>
      <c r="G251" s="5" t="n">
        <v>306</v>
      </c>
      <c r="H251" s="10">
        <f>IF(E251&gt;0,G251/E251,"")</f>
        <v/>
      </c>
      <c r="I251" s="11">
        <f>IF(AND(F251&gt;0,G251&gt;0),F251/G251,"")</f>
        <v/>
      </c>
    </row>
    <row r="252">
      <c r="A252" s="4" t="inlineStr">
        <is>
          <t>311</t>
        </is>
      </c>
      <c r="B252" s="4" t="n">
        <v>3</v>
      </c>
      <c r="C252" s="4" t="inlineStr">
        <is>
          <t>mule deer</t>
        </is>
      </c>
      <c r="D252" s="4" t="n">
        <v>2023</v>
      </c>
      <c r="E252" s="5" t="n">
        <v>1596</v>
      </c>
      <c r="F252" s="5" t="n">
        <v>9556</v>
      </c>
      <c r="G252" s="5" t="n">
        <v>320</v>
      </c>
      <c r="H252" s="10">
        <f>IF(E252&gt;0,G252/E252,"")</f>
        <v/>
      </c>
      <c r="I252" s="11">
        <f>IF(AND(F252&gt;0,G252&gt;0),F252/G252,"")</f>
        <v/>
      </c>
    </row>
    <row r="253">
      <c r="A253" s="4" t="inlineStr">
        <is>
          <t>311</t>
        </is>
      </c>
      <c r="B253" s="4" t="n">
        <v>3</v>
      </c>
      <c r="C253" s="4" t="inlineStr">
        <is>
          <t>mule deer</t>
        </is>
      </c>
      <c r="D253" s="4" t="n">
        <v>2024</v>
      </c>
      <c r="E253" s="5" t="n"/>
      <c r="F253" s="5" t="n"/>
      <c r="G253" s="5" t="n">
        <v>395</v>
      </c>
      <c r="H253" s="10">
        <f>IF(E253&gt;0,G253/E253,"")</f>
        <v/>
      </c>
      <c r="I253" s="11">
        <f>IF(AND(F253&gt;0,G253&gt;0),F253/G253,"")</f>
        <v/>
      </c>
    </row>
    <row r="254">
      <c r="A254" s="4" t="inlineStr">
        <is>
          <t>311</t>
        </is>
      </c>
      <c r="B254" s="4" t="n">
        <v>3</v>
      </c>
      <c r="C254" s="4" t="inlineStr">
        <is>
          <t>mule deer</t>
        </is>
      </c>
      <c r="D254" s="4" t="n">
        <v>2025</v>
      </c>
      <c r="E254" s="5" t="n">
        <v>1633</v>
      </c>
      <c r="F254" s="5" t="n">
        <v>9458</v>
      </c>
      <c r="G254" s="5" t="n">
        <v>295</v>
      </c>
      <c r="H254" s="10">
        <f>IF(E254&gt;0,G254/E254,"")</f>
        <v/>
      </c>
      <c r="I254" s="11">
        <f>IF(AND(F254&gt;0,G254&gt;0),F254/G254,"")</f>
        <v/>
      </c>
    </row>
    <row r="255">
      <c r="A255" s="4" t="inlineStr">
        <is>
          <t>312</t>
        </is>
      </c>
      <c r="B255" s="4" t="n">
        <v>3</v>
      </c>
      <c r="C255" s="4" t="inlineStr">
        <is>
          <t>mule deer</t>
        </is>
      </c>
      <c r="D255" s="4" t="n">
        <v>2021</v>
      </c>
      <c r="E255" s="5" t="n">
        <v>1341</v>
      </c>
      <c r="F255" s="5" t="n">
        <v>7253</v>
      </c>
      <c r="G255" s="5" t="n">
        <v>194</v>
      </c>
      <c r="H255" s="10">
        <f>IF(E255&gt;0,G255/E255,"")</f>
        <v/>
      </c>
      <c r="I255" s="11">
        <f>IF(AND(F255&gt;0,G255&gt;0),F255/G255,"")</f>
        <v/>
      </c>
    </row>
    <row r="256">
      <c r="A256" s="4" t="inlineStr">
        <is>
          <t>312</t>
        </is>
      </c>
      <c r="B256" s="4" t="n">
        <v>3</v>
      </c>
      <c r="C256" s="4" t="inlineStr">
        <is>
          <t>mule deer</t>
        </is>
      </c>
      <c r="D256" s="4" t="n">
        <v>2022</v>
      </c>
      <c r="E256" s="5" t="n"/>
      <c r="F256" s="5" t="n"/>
      <c r="G256" s="5" t="n">
        <v>191</v>
      </c>
      <c r="H256" s="10">
        <f>IF(E256&gt;0,G256/E256,"")</f>
        <v/>
      </c>
      <c r="I256" s="11">
        <f>IF(AND(F256&gt;0,G256&gt;0),F256/G256,"")</f>
        <v/>
      </c>
    </row>
    <row r="257">
      <c r="A257" s="4" t="inlineStr">
        <is>
          <t>312</t>
        </is>
      </c>
      <c r="B257" s="4" t="n">
        <v>3</v>
      </c>
      <c r="C257" s="4" t="inlineStr">
        <is>
          <t>mule deer</t>
        </is>
      </c>
      <c r="D257" s="4" t="n">
        <v>2023</v>
      </c>
      <c r="E257" s="5" t="n">
        <v>1471</v>
      </c>
      <c r="F257" s="5" t="n">
        <v>8723</v>
      </c>
      <c r="G257" s="5" t="n">
        <v>189</v>
      </c>
      <c r="H257" s="10">
        <f>IF(E257&gt;0,G257/E257,"")</f>
        <v/>
      </c>
      <c r="I257" s="11">
        <f>IF(AND(F257&gt;0,G257&gt;0),F257/G257,"")</f>
        <v/>
      </c>
    </row>
    <row r="258">
      <c r="A258" s="4" t="inlineStr">
        <is>
          <t>312</t>
        </is>
      </c>
      <c r="B258" s="4" t="n">
        <v>3</v>
      </c>
      <c r="C258" s="4" t="inlineStr">
        <is>
          <t>mule deer</t>
        </is>
      </c>
      <c r="D258" s="4" t="n">
        <v>2024</v>
      </c>
      <c r="E258" s="5" t="n"/>
      <c r="F258" s="5" t="n"/>
      <c r="G258" s="5" t="n">
        <v>171</v>
      </c>
      <c r="H258" s="10">
        <f>IF(E258&gt;0,G258/E258,"")</f>
        <v/>
      </c>
      <c r="I258" s="11">
        <f>IF(AND(F258&gt;0,G258&gt;0),F258/G258,"")</f>
        <v/>
      </c>
    </row>
    <row r="259">
      <c r="A259" s="4" t="inlineStr">
        <is>
          <t>312</t>
        </is>
      </c>
      <c r="B259" s="4" t="n">
        <v>3</v>
      </c>
      <c r="C259" s="4" t="inlineStr">
        <is>
          <t>mule deer</t>
        </is>
      </c>
      <c r="D259" s="4" t="n">
        <v>2025</v>
      </c>
      <c r="E259" s="5" t="n">
        <v>1459</v>
      </c>
      <c r="F259" s="5" t="n">
        <v>8909</v>
      </c>
      <c r="G259" s="5" t="n">
        <v>178</v>
      </c>
      <c r="H259" s="10">
        <f>IF(E259&gt;0,G259/E259,"")</f>
        <v/>
      </c>
      <c r="I259" s="11">
        <f>IF(AND(F259&gt;0,G259&gt;0),F259/G259,"")</f>
        <v/>
      </c>
    </row>
    <row r="260">
      <c r="A260" s="4" t="inlineStr">
        <is>
          <t>313</t>
        </is>
      </c>
      <c r="B260" s="4" t="n">
        <v>3</v>
      </c>
      <c r="C260" s="4" t="inlineStr">
        <is>
          <t>mule deer</t>
        </is>
      </c>
      <c r="D260" s="4" t="n">
        <v>2021</v>
      </c>
      <c r="E260" s="5" t="n">
        <v>733</v>
      </c>
      <c r="F260" s="5" t="n">
        <v>4594</v>
      </c>
      <c r="G260" s="5" t="n">
        <v>164</v>
      </c>
      <c r="H260" s="10">
        <f>IF(E260&gt;0,G260/E260,"")</f>
        <v/>
      </c>
      <c r="I260" s="11">
        <f>IF(AND(F260&gt;0,G260&gt;0),F260/G260,"")</f>
        <v/>
      </c>
    </row>
    <row r="261">
      <c r="A261" s="4" t="inlineStr">
        <is>
          <t>313</t>
        </is>
      </c>
      <c r="B261" s="4" t="n">
        <v>3</v>
      </c>
      <c r="C261" s="4" t="inlineStr">
        <is>
          <t>mule deer</t>
        </is>
      </c>
      <c r="D261" s="4" t="n">
        <v>2022</v>
      </c>
      <c r="E261" s="5" t="n"/>
      <c r="F261" s="5" t="n"/>
      <c r="G261" s="5" t="n">
        <v>189</v>
      </c>
      <c r="H261" s="10">
        <f>IF(E261&gt;0,G261/E261,"")</f>
        <v/>
      </c>
      <c r="I261" s="11">
        <f>IF(AND(F261&gt;0,G261&gt;0),F261/G261,"")</f>
        <v/>
      </c>
    </row>
    <row r="262">
      <c r="A262" s="4" t="inlineStr">
        <is>
          <t>313</t>
        </is>
      </c>
      <c r="B262" s="4" t="n">
        <v>3</v>
      </c>
      <c r="C262" s="4" t="inlineStr">
        <is>
          <t>mule deer</t>
        </is>
      </c>
      <c r="D262" s="4" t="n">
        <v>2023</v>
      </c>
      <c r="E262" s="5" t="n">
        <v>633</v>
      </c>
      <c r="F262" s="5" t="n">
        <v>4776</v>
      </c>
      <c r="G262" s="5" t="n">
        <v>156</v>
      </c>
      <c r="H262" s="10">
        <f>IF(E262&gt;0,G262/E262,"")</f>
        <v/>
      </c>
      <c r="I262" s="11">
        <f>IF(AND(F262&gt;0,G262&gt;0),F262/G262,"")</f>
        <v/>
      </c>
    </row>
    <row r="263">
      <c r="A263" s="4" t="inlineStr">
        <is>
          <t>313</t>
        </is>
      </c>
      <c r="B263" s="4" t="n">
        <v>3</v>
      </c>
      <c r="C263" s="4" t="inlineStr">
        <is>
          <t>mule deer</t>
        </is>
      </c>
      <c r="D263" s="4" t="n">
        <v>2024</v>
      </c>
      <c r="E263" s="5" t="n"/>
      <c r="F263" s="5" t="n"/>
      <c r="G263" s="5" t="n">
        <v>233</v>
      </c>
      <c r="H263" s="10">
        <f>IF(E263&gt;0,G263/E263,"")</f>
        <v/>
      </c>
      <c r="I263" s="11">
        <f>IF(AND(F263&gt;0,G263&gt;0),F263/G263,"")</f>
        <v/>
      </c>
    </row>
    <row r="264">
      <c r="A264" s="4" t="inlineStr">
        <is>
          <t>313</t>
        </is>
      </c>
      <c r="B264" s="4" t="n">
        <v>3</v>
      </c>
      <c r="C264" s="4" t="inlineStr">
        <is>
          <t>mule deer</t>
        </is>
      </c>
      <c r="D264" s="4" t="n">
        <v>2025</v>
      </c>
      <c r="E264" s="5" t="n">
        <v>810</v>
      </c>
      <c r="F264" s="5" t="n">
        <v>5205</v>
      </c>
      <c r="G264" s="5" t="n">
        <v>198</v>
      </c>
      <c r="H264" s="10">
        <f>IF(E264&gt;0,G264/E264,"")</f>
        <v/>
      </c>
      <c r="I264" s="11">
        <f>IF(AND(F264&gt;0,G264&gt;0),F264/G264,"")</f>
        <v/>
      </c>
    </row>
    <row r="265">
      <c r="A265" s="4" t="inlineStr">
        <is>
          <t>314</t>
        </is>
      </c>
      <c r="B265" s="4" t="n">
        <v>3</v>
      </c>
      <c r="C265" s="4" t="inlineStr">
        <is>
          <t>mule deer</t>
        </is>
      </c>
      <c r="D265" s="4" t="n">
        <v>2021</v>
      </c>
      <c r="E265" s="5" t="n">
        <v>1456</v>
      </c>
      <c r="F265" s="5" t="n">
        <v>9056</v>
      </c>
      <c r="G265" s="5" t="n">
        <v>233</v>
      </c>
      <c r="H265" s="10">
        <f>IF(E265&gt;0,G265/E265,"")</f>
        <v/>
      </c>
      <c r="I265" s="11">
        <f>IF(AND(F265&gt;0,G265&gt;0),F265/G265,"")</f>
        <v/>
      </c>
    </row>
    <row r="266">
      <c r="A266" s="4" t="inlineStr">
        <is>
          <t>314</t>
        </is>
      </c>
      <c r="B266" s="4" t="n">
        <v>3</v>
      </c>
      <c r="C266" s="4" t="inlineStr">
        <is>
          <t>mule deer</t>
        </is>
      </c>
      <c r="D266" s="4" t="n">
        <v>2022</v>
      </c>
      <c r="E266" s="5" t="n"/>
      <c r="F266" s="5" t="n"/>
      <c r="G266" s="5" t="n">
        <v>236</v>
      </c>
      <c r="H266" s="10">
        <f>IF(E266&gt;0,G266/E266,"")</f>
        <v/>
      </c>
      <c r="I266" s="11">
        <f>IF(AND(F266&gt;0,G266&gt;0),F266/G266,"")</f>
        <v/>
      </c>
    </row>
    <row r="267">
      <c r="A267" s="4" t="inlineStr">
        <is>
          <t>314</t>
        </is>
      </c>
      <c r="B267" s="4" t="n">
        <v>3</v>
      </c>
      <c r="C267" s="4" t="inlineStr">
        <is>
          <t>mule deer</t>
        </is>
      </c>
      <c r="D267" s="4" t="n">
        <v>2023</v>
      </c>
      <c r="E267" s="5" t="n">
        <v>1382</v>
      </c>
      <c r="F267" s="5" t="n">
        <v>8934</v>
      </c>
      <c r="G267" s="5" t="n">
        <v>235</v>
      </c>
      <c r="H267" s="10">
        <f>IF(E267&gt;0,G267/E267,"")</f>
        <v/>
      </c>
      <c r="I267" s="11">
        <f>IF(AND(F267&gt;0,G267&gt;0),F267/G267,"")</f>
        <v/>
      </c>
    </row>
    <row r="268">
      <c r="A268" s="4" t="inlineStr">
        <is>
          <t>314</t>
        </is>
      </c>
      <c r="B268" s="4" t="n">
        <v>3</v>
      </c>
      <c r="C268" s="4" t="inlineStr">
        <is>
          <t>mule deer</t>
        </is>
      </c>
      <c r="D268" s="4" t="n">
        <v>2024</v>
      </c>
      <c r="E268" s="5" t="n"/>
      <c r="F268" s="5" t="n"/>
      <c r="G268" s="5" t="n">
        <v>335</v>
      </c>
      <c r="H268" s="10">
        <f>IF(E268&gt;0,G268/E268,"")</f>
        <v/>
      </c>
      <c r="I268" s="11">
        <f>IF(AND(F268&gt;0,G268&gt;0),F268/G268,"")</f>
        <v/>
      </c>
    </row>
    <row r="269">
      <c r="A269" s="4" t="inlineStr">
        <is>
          <t>314</t>
        </is>
      </c>
      <c r="B269" s="4" t="n">
        <v>3</v>
      </c>
      <c r="C269" s="4" t="inlineStr">
        <is>
          <t>mule deer</t>
        </is>
      </c>
      <c r="D269" s="4" t="n">
        <v>2025</v>
      </c>
      <c r="E269" s="5" t="n">
        <v>1401</v>
      </c>
      <c r="F269" s="5" t="n">
        <v>8661</v>
      </c>
      <c r="G269" s="5" t="n">
        <v>307</v>
      </c>
      <c r="H269" s="10">
        <f>IF(E269&gt;0,G269/E269,"")</f>
        <v/>
      </c>
      <c r="I269" s="11">
        <f>IF(AND(F269&gt;0,G269&gt;0),F269/G269,"")</f>
        <v/>
      </c>
    </row>
    <row r="270">
      <c r="A270" s="4" t="inlineStr">
        <is>
          <t>315</t>
        </is>
      </c>
      <c r="B270" s="4" t="n">
        <v>3</v>
      </c>
      <c r="C270" s="4" t="inlineStr">
        <is>
          <t>mule deer</t>
        </is>
      </c>
      <c r="D270" s="4" t="n">
        <v>2021</v>
      </c>
      <c r="E270" s="5" t="n">
        <v>1338</v>
      </c>
      <c r="F270" s="5" t="n">
        <v>8170</v>
      </c>
      <c r="G270" s="5" t="n">
        <v>197</v>
      </c>
      <c r="H270" s="10">
        <f>IF(E270&gt;0,G270/E270,"")</f>
        <v/>
      </c>
      <c r="I270" s="11">
        <f>IF(AND(F270&gt;0,G270&gt;0),F270/G270,"")</f>
        <v/>
      </c>
    </row>
    <row r="271">
      <c r="A271" s="4" t="inlineStr">
        <is>
          <t>315</t>
        </is>
      </c>
      <c r="B271" s="4" t="n">
        <v>3</v>
      </c>
      <c r="C271" s="4" t="inlineStr">
        <is>
          <t>mule deer</t>
        </is>
      </c>
      <c r="D271" s="4" t="n">
        <v>2022</v>
      </c>
      <c r="E271" s="5" t="n"/>
      <c r="F271" s="5" t="n"/>
      <c r="G271" s="5" t="n">
        <v>293</v>
      </c>
      <c r="H271" s="10">
        <f>IF(E271&gt;0,G271/E271,"")</f>
        <v/>
      </c>
      <c r="I271" s="11">
        <f>IF(AND(F271&gt;0,G271&gt;0),F271/G271,"")</f>
        <v/>
      </c>
    </row>
    <row r="272">
      <c r="A272" s="4" t="inlineStr">
        <is>
          <t>315</t>
        </is>
      </c>
      <c r="B272" s="4" t="n">
        <v>3</v>
      </c>
      <c r="C272" s="4" t="inlineStr">
        <is>
          <t>mule deer</t>
        </is>
      </c>
      <c r="D272" s="4" t="n">
        <v>2023</v>
      </c>
      <c r="E272" s="5" t="n">
        <v>1482</v>
      </c>
      <c r="F272" s="5" t="n">
        <v>8395</v>
      </c>
      <c r="G272" s="5" t="n">
        <v>253</v>
      </c>
      <c r="H272" s="10">
        <f>IF(E272&gt;0,G272/E272,"")</f>
        <v/>
      </c>
      <c r="I272" s="11">
        <f>IF(AND(F272&gt;0,G272&gt;0),F272/G272,"")</f>
        <v/>
      </c>
    </row>
    <row r="273">
      <c r="A273" s="4" t="inlineStr">
        <is>
          <t>315</t>
        </is>
      </c>
      <c r="B273" s="4" t="n">
        <v>3</v>
      </c>
      <c r="C273" s="4" t="inlineStr">
        <is>
          <t>mule deer</t>
        </is>
      </c>
      <c r="D273" s="4" t="n">
        <v>2024</v>
      </c>
      <c r="E273" s="5" t="n"/>
      <c r="F273" s="5" t="n"/>
      <c r="G273" s="5" t="n">
        <v>321</v>
      </c>
      <c r="H273" s="10">
        <f>IF(E273&gt;0,G273/E273,"")</f>
        <v/>
      </c>
      <c r="I273" s="11">
        <f>IF(AND(F273&gt;0,G273&gt;0),F273/G273,"")</f>
        <v/>
      </c>
    </row>
    <row r="274">
      <c r="A274" s="4" t="inlineStr">
        <is>
          <t>315</t>
        </is>
      </c>
      <c r="B274" s="4" t="n">
        <v>3</v>
      </c>
      <c r="C274" s="4" t="inlineStr">
        <is>
          <t>mule deer</t>
        </is>
      </c>
      <c r="D274" s="4" t="n">
        <v>2025</v>
      </c>
      <c r="E274" s="5" t="n">
        <v>1587</v>
      </c>
      <c r="F274" s="5" t="n">
        <v>10277</v>
      </c>
      <c r="G274" s="5" t="n">
        <v>316</v>
      </c>
      <c r="H274" s="10">
        <f>IF(E274&gt;0,G274/E274,"")</f>
        <v/>
      </c>
      <c r="I274" s="11">
        <f>IF(AND(F274&gt;0,G274&gt;0),F274/G274,"")</f>
        <v/>
      </c>
    </row>
    <row r="275">
      <c r="A275" s="4" t="inlineStr">
        <is>
          <t>316</t>
        </is>
      </c>
      <c r="B275" s="4" t="n">
        <v>3</v>
      </c>
      <c r="C275" s="4" t="inlineStr">
        <is>
          <t>mule deer</t>
        </is>
      </c>
      <c r="D275" s="4" t="n">
        <v>2021</v>
      </c>
      <c r="E275" s="5" t="n">
        <v>79</v>
      </c>
      <c r="F275" s="5" t="n">
        <v>640</v>
      </c>
      <c r="G275" s="5" t="n">
        <v>11</v>
      </c>
      <c r="H275" s="10">
        <f>IF(E275&gt;0,G275/E275,"")</f>
        <v/>
      </c>
      <c r="I275" s="11">
        <f>IF(AND(F275&gt;0,G275&gt;0),F275/G275,"")</f>
        <v/>
      </c>
    </row>
    <row r="276">
      <c r="A276" s="4" t="inlineStr">
        <is>
          <t>316</t>
        </is>
      </c>
      <c r="B276" s="4" t="n">
        <v>3</v>
      </c>
      <c r="C276" s="4" t="inlineStr">
        <is>
          <t>mule deer</t>
        </is>
      </c>
      <c r="D276" s="4" t="n">
        <v>2022</v>
      </c>
      <c r="E276" s="5" t="n"/>
      <c r="F276" s="5" t="n"/>
      <c r="G276" s="5" t="n">
        <v>17</v>
      </c>
      <c r="H276" s="10">
        <f>IF(E276&gt;0,G276/E276,"")</f>
        <v/>
      </c>
      <c r="I276" s="11">
        <f>IF(AND(F276&gt;0,G276&gt;0),F276/G276,"")</f>
        <v/>
      </c>
    </row>
    <row r="277">
      <c r="A277" s="4" t="inlineStr">
        <is>
          <t>316</t>
        </is>
      </c>
      <c r="B277" s="4" t="n">
        <v>3</v>
      </c>
      <c r="C277" s="4" t="inlineStr">
        <is>
          <t>mule deer</t>
        </is>
      </c>
      <c r="D277" s="4" t="n">
        <v>2023</v>
      </c>
      <c r="E277" s="5" t="n">
        <v>143</v>
      </c>
      <c r="F277" s="5" t="n">
        <v>857</v>
      </c>
      <c r="G277" s="5" t="n">
        <v>23</v>
      </c>
      <c r="H277" s="10">
        <f>IF(E277&gt;0,G277/E277,"")</f>
        <v/>
      </c>
      <c r="I277" s="11">
        <f>IF(AND(F277&gt;0,G277&gt;0),F277/G277,"")</f>
        <v/>
      </c>
    </row>
    <row r="278">
      <c r="A278" s="4" t="inlineStr">
        <is>
          <t>316</t>
        </is>
      </c>
      <c r="B278" s="4" t="n">
        <v>3</v>
      </c>
      <c r="C278" s="4" t="inlineStr">
        <is>
          <t>mule deer</t>
        </is>
      </c>
      <c r="D278" s="4" t="n">
        <v>2024</v>
      </c>
      <c r="E278" s="5" t="n"/>
      <c r="F278" s="5" t="n"/>
      <c r="G278" s="5" t="n">
        <v>42</v>
      </c>
      <c r="H278" s="10">
        <f>IF(E278&gt;0,G278/E278,"")</f>
        <v/>
      </c>
      <c r="I278" s="11">
        <f>IF(AND(F278&gt;0,G278&gt;0),F278/G278,"")</f>
        <v/>
      </c>
    </row>
    <row r="279">
      <c r="A279" s="4" t="inlineStr">
        <is>
          <t>316</t>
        </is>
      </c>
      <c r="B279" s="4" t="n">
        <v>3</v>
      </c>
      <c r="C279" s="4" t="inlineStr">
        <is>
          <t>mule deer</t>
        </is>
      </c>
      <c r="D279" s="4" t="n">
        <v>2025</v>
      </c>
      <c r="E279" s="5" t="n">
        <v>185</v>
      </c>
      <c r="F279" s="5" t="n">
        <v>1102</v>
      </c>
      <c r="G279" s="5" t="n">
        <v>72</v>
      </c>
      <c r="H279" s="10">
        <f>IF(E279&gt;0,G279/E279,"")</f>
        <v/>
      </c>
      <c r="I279" s="11">
        <f>IF(AND(F279&gt;0,G279&gt;0),F279/G279,"")</f>
        <v/>
      </c>
    </row>
    <row r="280">
      <c r="A280" s="4" t="inlineStr">
        <is>
          <t>317</t>
        </is>
      </c>
      <c r="B280" s="4" t="n">
        <v>3</v>
      </c>
      <c r="C280" s="4" t="inlineStr">
        <is>
          <t>mule deer</t>
        </is>
      </c>
      <c r="D280" s="4" t="n">
        <v>2021</v>
      </c>
      <c r="E280" s="5" t="n">
        <v>1278</v>
      </c>
      <c r="F280" s="5" t="n">
        <v>7779</v>
      </c>
      <c r="G280" s="5" t="n">
        <v>217</v>
      </c>
      <c r="H280" s="10">
        <f>IF(E280&gt;0,G280/E280,"")</f>
        <v/>
      </c>
      <c r="I280" s="11">
        <f>IF(AND(F280&gt;0,G280&gt;0),F280/G280,"")</f>
        <v/>
      </c>
    </row>
    <row r="281">
      <c r="A281" s="4" t="inlineStr">
        <is>
          <t>317</t>
        </is>
      </c>
      <c r="B281" s="4" t="n">
        <v>3</v>
      </c>
      <c r="C281" s="4" t="inlineStr">
        <is>
          <t>mule deer</t>
        </is>
      </c>
      <c r="D281" s="4" t="n">
        <v>2022</v>
      </c>
      <c r="E281" s="5" t="n"/>
      <c r="F281" s="5" t="n"/>
      <c r="G281" s="5" t="n">
        <v>298</v>
      </c>
      <c r="H281" s="10">
        <f>IF(E281&gt;0,G281/E281,"")</f>
        <v/>
      </c>
      <c r="I281" s="11">
        <f>IF(AND(F281&gt;0,G281&gt;0),F281/G281,"")</f>
        <v/>
      </c>
    </row>
    <row r="282">
      <c r="A282" s="4" t="inlineStr">
        <is>
          <t>317</t>
        </is>
      </c>
      <c r="B282" s="4" t="n">
        <v>3</v>
      </c>
      <c r="C282" s="4" t="inlineStr">
        <is>
          <t>mule deer</t>
        </is>
      </c>
      <c r="D282" s="4" t="n">
        <v>2023</v>
      </c>
      <c r="E282" s="5" t="n">
        <v>1271</v>
      </c>
      <c r="F282" s="5" t="n">
        <v>7606</v>
      </c>
      <c r="G282" s="5" t="n">
        <v>241</v>
      </c>
      <c r="H282" s="10">
        <f>IF(E282&gt;0,G282/E282,"")</f>
        <v/>
      </c>
      <c r="I282" s="11">
        <f>IF(AND(F282&gt;0,G282&gt;0),F282/G282,"")</f>
        <v/>
      </c>
    </row>
    <row r="283">
      <c r="A283" s="4" t="inlineStr">
        <is>
          <t>317</t>
        </is>
      </c>
      <c r="B283" s="4" t="n">
        <v>3</v>
      </c>
      <c r="C283" s="4" t="inlineStr">
        <is>
          <t>mule deer</t>
        </is>
      </c>
      <c r="D283" s="4" t="n">
        <v>2024</v>
      </c>
      <c r="E283" s="5" t="n"/>
      <c r="F283" s="5" t="n"/>
      <c r="G283" s="5" t="n">
        <v>184</v>
      </c>
      <c r="H283" s="10">
        <f>IF(E283&gt;0,G283/E283,"")</f>
        <v/>
      </c>
      <c r="I283" s="11">
        <f>IF(AND(F283&gt;0,G283&gt;0),F283/G283,"")</f>
        <v/>
      </c>
    </row>
    <row r="284">
      <c r="A284" s="4" t="inlineStr">
        <is>
          <t>317</t>
        </is>
      </c>
      <c r="B284" s="4" t="n">
        <v>3</v>
      </c>
      <c r="C284" s="4" t="inlineStr">
        <is>
          <t>mule deer</t>
        </is>
      </c>
      <c r="D284" s="4" t="n">
        <v>2025</v>
      </c>
      <c r="E284" s="5" t="n">
        <v>1116</v>
      </c>
      <c r="F284" s="5" t="n">
        <v>7569</v>
      </c>
      <c r="G284" s="5" t="n">
        <v>205</v>
      </c>
      <c r="H284" s="10">
        <f>IF(E284&gt;0,G284/E284,"")</f>
        <v/>
      </c>
      <c r="I284" s="11">
        <f>IF(AND(F284&gt;0,G284&gt;0),F284/G284,"")</f>
        <v/>
      </c>
    </row>
    <row r="285">
      <c r="A285" s="4" t="inlineStr">
        <is>
          <t>318</t>
        </is>
      </c>
      <c r="B285" s="4" t="n">
        <v>3</v>
      </c>
      <c r="C285" s="4" t="inlineStr">
        <is>
          <t>mule deer</t>
        </is>
      </c>
      <c r="D285" s="4" t="n">
        <v>2021</v>
      </c>
      <c r="E285" s="5" t="n">
        <v>597</v>
      </c>
      <c r="F285" s="5" t="n">
        <v>5217</v>
      </c>
      <c r="G285" s="5" t="n">
        <v>91</v>
      </c>
      <c r="H285" s="10">
        <f>IF(E285&gt;0,G285/E285,"")</f>
        <v/>
      </c>
      <c r="I285" s="11">
        <f>IF(AND(F285&gt;0,G285&gt;0),F285/G285,"")</f>
        <v/>
      </c>
    </row>
    <row r="286">
      <c r="A286" s="4" t="inlineStr">
        <is>
          <t>318</t>
        </is>
      </c>
      <c r="B286" s="4" t="n">
        <v>3</v>
      </c>
      <c r="C286" s="4" t="inlineStr">
        <is>
          <t>mule deer</t>
        </is>
      </c>
      <c r="D286" s="4" t="n">
        <v>2022</v>
      </c>
      <c r="E286" s="5" t="n"/>
      <c r="F286" s="5" t="n"/>
      <c r="G286" s="5" t="n">
        <v>93</v>
      </c>
      <c r="H286" s="10">
        <f>IF(E286&gt;0,G286/E286,"")</f>
        <v/>
      </c>
      <c r="I286" s="11">
        <f>IF(AND(F286&gt;0,G286&gt;0),F286/G286,"")</f>
        <v/>
      </c>
    </row>
    <row r="287">
      <c r="A287" s="4" t="inlineStr">
        <is>
          <t>318</t>
        </is>
      </c>
      <c r="B287" s="4" t="n">
        <v>3</v>
      </c>
      <c r="C287" s="4" t="inlineStr">
        <is>
          <t>mule deer</t>
        </is>
      </c>
      <c r="D287" s="4" t="n">
        <v>2023</v>
      </c>
      <c r="E287" s="5" t="n">
        <v>654</v>
      </c>
      <c r="F287" s="5" t="n">
        <v>4896</v>
      </c>
      <c r="G287" s="5" t="n">
        <v>101</v>
      </c>
      <c r="H287" s="10">
        <f>IF(E287&gt;0,G287/E287,"")</f>
        <v/>
      </c>
      <c r="I287" s="11">
        <f>IF(AND(F287&gt;0,G287&gt;0),F287/G287,"")</f>
        <v/>
      </c>
    </row>
    <row r="288">
      <c r="A288" s="4" t="inlineStr">
        <is>
          <t>318</t>
        </is>
      </c>
      <c r="B288" s="4" t="n">
        <v>3</v>
      </c>
      <c r="C288" s="4" t="inlineStr">
        <is>
          <t>mule deer</t>
        </is>
      </c>
      <c r="D288" s="4" t="n">
        <v>2024</v>
      </c>
      <c r="E288" s="5" t="n"/>
      <c r="F288" s="5" t="n"/>
      <c r="G288" s="5" t="n">
        <v>151</v>
      </c>
      <c r="H288" s="10">
        <f>IF(E288&gt;0,G288/E288,"")</f>
        <v/>
      </c>
      <c r="I288" s="11">
        <f>IF(AND(F288&gt;0,G288&gt;0),F288/G288,"")</f>
        <v/>
      </c>
    </row>
    <row r="289">
      <c r="A289" s="4" t="inlineStr">
        <is>
          <t>318</t>
        </is>
      </c>
      <c r="B289" s="4" t="n">
        <v>3</v>
      </c>
      <c r="C289" s="4" t="inlineStr">
        <is>
          <t>mule deer</t>
        </is>
      </c>
      <c r="D289" s="4" t="n">
        <v>2025</v>
      </c>
      <c r="E289" s="5" t="n">
        <v>696</v>
      </c>
      <c r="F289" s="5" t="n">
        <v>7052</v>
      </c>
      <c r="G289" s="5" t="n">
        <v>78</v>
      </c>
      <c r="H289" s="10">
        <f>IF(E289&gt;0,G289/E289,"")</f>
        <v/>
      </c>
      <c r="I289" s="11">
        <f>IF(AND(F289&gt;0,G289&gt;0),F289/G289,"")</f>
        <v/>
      </c>
    </row>
    <row r="290">
      <c r="A290" s="4" t="inlineStr">
        <is>
          <t>319</t>
        </is>
      </c>
      <c r="B290" s="4" t="n">
        <v>3</v>
      </c>
      <c r="C290" s="4" t="inlineStr">
        <is>
          <t>mule deer</t>
        </is>
      </c>
      <c r="D290" s="4" t="n">
        <v>2021</v>
      </c>
      <c r="E290" s="5" t="n">
        <v>379</v>
      </c>
      <c r="F290" s="5" t="n">
        <v>2971</v>
      </c>
      <c r="G290" s="5" t="n">
        <v>57</v>
      </c>
      <c r="H290" s="10">
        <f>IF(E290&gt;0,G290/E290,"")</f>
        <v/>
      </c>
      <c r="I290" s="11">
        <f>IF(AND(F290&gt;0,G290&gt;0),F290/G290,"")</f>
        <v/>
      </c>
    </row>
    <row r="291">
      <c r="A291" s="4" t="inlineStr">
        <is>
          <t>319</t>
        </is>
      </c>
      <c r="B291" s="4" t="n">
        <v>3</v>
      </c>
      <c r="C291" s="4" t="inlineStr">
        <is>
          <t>mule deer</t>
        </is>
      </c>
      <c r="D291" s="4" t="n">
        <v>2022</v>
      </c>
      <c r="E291" s="5" t="n"/>
      <c r="F291" s="5" t="n"/>
      <c r="G291" s="5" t="n">
        <v>106</v>
      </c>
      <c r="H291" s="10">
        <f>IF(E291&gt;0,G291/E291,"")</f>
        <v/>
      </c>
      <c r="I291" s="11">
        <f>IF(AND(F291&gt;0,G291&gt;0),F291/G291,"")</f>
        <v/>
      </c>
    </row>
    <row r="292">
      <c r="A292" s="4" t="inlineStr">
        <is>
          <t>319</t>
        </is>
      </c>
      <c r="B292" s="4" t="n">
        <v>3</v>
      </c>
      <c r="C292" s="4" t="inlineStr">
        <is>
          <t>mule deer</t>
        </is>
      </c>
      <c r="D292" s="4" t="n">
        <v>2023</v>
      </c>
      <c r="E292" s="5" t="n">
        <v>694</v>
      </c>
      <c r="F292" s="5" t="n">
        <v>5272</v>
      </c>
      <c r="G292" s="5" t="n">
        <v>67</v>
      </c>
      <c r="H292" s="10">
        <f>IF(E292&gt;0,G292/E292,"")</f>
        <v/>
      </c>
      <c r="I292" s="11">
        <f>IF(AND(F292&gt;0,G292&gt;0),F292/G292,"")</f>
        <v/>
      </c>
    </row>
    <row r="293">
      <c r="A293" s="4" t="inlineStr">
        <is>
          <t>319</t>
        </is>
      </c>
      <c r="B293" s="4" t="n">
        <v>3</v>
      </c>
      <c r="C293" s="4" t="inlineStr">
        <is>
          <t>mule deer</t>
        </is>
      </c>
      <c r="D293" s="4" t="n">
        <v>2024</v>
      </c>
      <c r="E293" s="5" t="n"/>
      <c r="F293" s="5" t="n"/>
      <c r="G293" s="5" t="n">
        <v>94</v>
      </c>
      <c r="H293" s="10">
        <f>IF(E293&gt;0,G293/E293,"")</f>
        <v/>
      </c>
      <c r="I293" s="11">
        <f>IF(AND(F293&gt;0,G293&gt;0),F293/G293,"")</f>
        <v/>
      </c>
    </row>
    <row r="294">
      <c r="A294" s="4" t="inlineStr">
        <is>
          <t>319</t>
        </is>
      </c>
      <c r="B294" s="4" t="n">
        <v>3</v>
      </c>
      <c r="C294" s="4" t="inlineStr">
        <is>
          <t>mule deer</t>
        </is>
      </c>
      <c r="D294" s="4" t="n">
        <v>2025</v>
      </c>
      <c r="E294" s="5" t="n">
        <v>772</v>
      </c>
      <c r="F294" s="5" t="n">
        <v>5960</v>
      </c>
      <c r="G294" s="5" t="n">
        <v>89</v>
      </c>
      <c r="H294" s="10">
        <f>IF(E294&gt;0,G294/E294,"")</f>
        <v/>
      </c>
      <c r="I294" s="11">
        <f>IF(AND(F294&gt;0,G294&gt;0),F294/G294,"")</f>
        <v/>
      </c>
    </row>
    <row r="295">
      <c r="A295" s="4" t="inlineStr">
        <is>
          <t>320</t>
        </is>
      </c>
      <c r="B295" s="4" t="n">
        <v>3</v>
      </c>
      <c r="C295" s="4" t="inlineStr">
        <is>
          <t>mule deer</t>
        </is>
      </c>
      <c r="D295" s="4" t="n">
        <v>2021</v>
      </c>
      <c r="E295" s="5" t="n">
        <v>1490</v>
      </c>
      <c r="F295" s="5" t="n">
        <v>8870</v>
      </c>
      <c r="G295" s="5" t="n">
        <v>263</v>
      </c>
      <c r="H295" s="10">
        <f>IF(E295&gt;0,G295/E295,"")</f>
        <v/>
      </c>
      <c r="I295" s="11">
        <f>IF(AND(F295&gt;0,G295&gt;0),F295/G295,"")</f>
        <v/>
      </c>
    </row>
    <row r="296">
      <c r="A296" s="4" t="inlineStr">
        <is>
          <t>320</t>
        </is>
      </c>
      <c r="B296" s="4" t="n">
        <v>3</v>
      </c>
      <c r="C296" s="4" t="inlineStr">
        <is>
          <t>mule deer</t>
        </is>
      </c>
      <c r="D296" s="4" t="n">
        <v>2022</v>
      </c>
      <c r="E296" s="5" t="n"/>
      <c r="F296" s="5" t="n"/>
      <c r="G296" s="5" t="n">
        <v>434</v>
      </c>
      <c r="H296" s="10">
        <f>IF(E296&gt;0,G296/E296,"")</f>
        <v/>
      </c>
      <c r="I296" s="11">
        <f>IF(AND(F296&gt;0,G296&gt;0),F296/G296,"")</f>
        <v/>
      </c>
    </row>
    <row r="297">
      <c r="A297" s="4" t="inlineStr">
        <is>
          <t>320</t>
        </is>
      </c>
      <c r="B297" s="4" t="n">
        <v>3</v>
      </c>
      <c r="C297" s="4" t="inlineStr">
        <is>
          <t>mule deer</t>
        </is>
      </c>
      <c r="D297" s="4" t="n">
        <v>2023</v>
      </c>
      <c r="E297" s="5" t="n">
        <v>2647</v>
      </c>
      <c r="F297" s="5" t="n">
        <v>17361</v>
      </c>
      <c r="G297" s="5" t="n">
        <v>393</v>
      </c>
      <c r="H297" s="10">
        <f>IF(E297&gt;0,G297/E297,"")</f>
        <v/>
      </c>
      <c r="I297" s="11">
        <f>IF(AND(F297&gt;0,G297&gt;0),F297/G297,"")</f>
        <v/>
      </c>
    </row>
    <row r="298">
      <c r="A298" s="4" t="inlineStr">
        <is>
          <t>320</t>
        </is>
      </c>
      <c r="B298" s="4" t="n">
        <v>3</v>
      </c>
      <c r="C298" s="4" t="inlineStr">
        <is>
          <t>mule deer</t>
        </is>
      </c>
      <c r="D298" s="4" t="n">
        <v>2024</v>
      </c>
      <c r="E298" s="5" t="n"/>
      <c r="F298" s="5" t="n"/>
      <c r="G298" s="5" t="n">
        <v>381</v>
      </c>
      <c r="H298" s="10">
        <f>IF(E298&gt;0,G298/E298,"")</f>
        <v/>
      </c>
      <c r="I298" s="11">
        <f>IF(AND(F298&gt;0,G298&gt;0),F298/G298,"")</f>
        <v/>
      </c>
    </row>
    <row r="299">
      <c r="A299" s="4" t="inlineStr">
        <is>
          <t>320</t>
        </is>
      </c>
      <c r="B299" s="4" t="n">
        <v>3</v>
      </c>
      <c r="C299" s="4" t="inlineStr">
        <is>
          <t>mule deer</t>
        </is>
      </c>
      <c r="D299" s="4" t="n">
        <v>2025</v>
      </c>
      <c r="E299" s="5" t="n">
        <v>2611</v>
      </c>
      <c r="F299" s="5" t="n">
        <v>16728</v>
      </c>
      <c r="G299" s="5" t="n">
        <v>396</v>
      </c>
      <c r="H299" s="10">
        <f>IF(E299&gt;0,G299/E299,"")</f>
        <v/>
      </c>
      <c r="I299" s="11">
        <f>IF(AND(F299&gt;0,G299&gt;0),F299/G299,"")</f>
        <v/>
      </c>
    </row>
    <row r="300">
      <c r="A300" s="4" t="inlineStr">
        <is>
          <t>321</t>
        </is>
      </c>
      <c r="B300" s="4" t="n">
        <v>3</v>
      </c>
      <c r="C300" s="4" t="inlineStr">
        <is>
          <t>mule deer</t>
        </is>
      </c>
      <c r="D300" s="4" t="n">
        <v>2021</v>
      </c>
      <c r="E300" s="5" t="n">
        <v>502</v>
      </c>
      <c r="F300" s="5" t="n">
        <v>3264</v>
      </c>
      <c r="G300" s="5" t="n">
        <v>30</v>
      </c>
      <c r="H300" s="10">
        <f>IF(E300&gt;0,G300/E300,"")</f>
        <v/>
      </c>
      <c r="I300" s="11">
        <f>IF(AND(F300&gt;0,G300&gt;0),F300/G300,"")</f>
        <v/>
      </c>
    </row>
    <row r="301">
      <c r="A301" s="4" t="inlineStr">
        <is>
          <t>321</t>
        </is>
      </c>
      <c r="B301" s="4" t="n">
        <v>3</v>
      </c>
      <c r="C301" s="4" t="inlineStr">
        <is>
          <t>mule deer</t>
        </is>
      </c>
      <c r="D301" s="4" t="n">
        <v>2022</v>
      </c>
      <c r="E301" s="5" t="n"/>
      <c r="F301" s="5" t="n"/>
      <c r="G301" s="5" t="n">
        <v>54</v>
      </c>
      <c r="H301" s="10">
        <f>IF(E301&gt;0,G301/E301,"")</f>
        <v/>
      </c>
      <c r="I301" s="11">
        <f>IF(AND(F301&gt;0,G301&gt;0),F301/G301,"")</f>
        <v/>
      </c>
    </row>
    <row r="302">
      <c r="A302" s="4" t="inlineStr">
        <is>
          <t>321</t>
        </is>
      </c>
      <c r="B302" s="4" t="n">
        <v>3</v>
      </c>
      <c r="C302" s="4" t="inlineStr">
        <is>
          <t>mule deer</t>
        </is>
      </c>
      <c r="D302" s="4" t="n">
        <v>2023</v>
      </c>
      <c r="E302" s="5" t="n">
        <v>1005</v>
      </c>
      <c r="F302" s="5" t="n">
        <v>7465</v>
      </c>
      <c r="G302" s="5" t="n">
        <v>93</v>
      </c>
      <c r="H302" s="10">
        <f>IF(E302&gt;0,G302/E302,"")</f>
        <v/>
      </c>
      <c r="I302" s="11">
        <f>IF(AND(F302&gt;0,G302&gt;0),F302/G302,"")</f>
        <v/>
      </c>
    </row>
    <row r="303">
      <c r="A303" s="4" t="inlineStr">
        <is>
          <t>321</t>
        </is>
      </c>
      <c r="B303" s="4" t="n">
        <v>3</v>
      </c>
      <c r="C303" s="4" t="inlineStr">
        <is>
          <t>mule deer</t>
        </is>
      </c>
      <c r="D303" s="4" t="n">
        <v>2024</v>
      </c>
      <c r="E303" s="5" t="n"/>
      <c r="F303" s="5" t="n"/>
      <c r="G303" s="5" t="n">
        <v>65</v>
      </c>
      <c r="H303" s="10">
        <f>IF(E303&gt;0,G303/E303,"")</f>
        <v/>
      </c>
      <c r="I303" s="11">
        <f>IF(AND(F303&gt;0,G303&gt;0),F303/G303,"")</f>
        <v/>
      </c>
    </row>
    <row r="304">
      <c r="A304" s="4" t="inlineStr">
        <is>
          <t>321</t>
        </is>
      </c>
      <c r="B304" s="4" t="n">
        <v>3</v>
      </c>
      <c r="C304" s="4" t="inlineStr">
        <is>
          <t>mule deer</t>
        </is>
      </c>
      <c r="D304" s="4" t="n">
        <v>2025</v>
      </c>
      <c r="E304" s="5" t="n">
        <v>1088</v>
      </c>
      <c r="F304" s="5" t="n">
        <v>7254</v>
      </c>
      <c r="G304" s="5" t="n">
        <v>85</v>
      </c>
      <c r="H304" s="10">
        <f>IF(E304&gt;0,G304/E304,"")</f>
        <v/>
      </c>
      <c r="I304" s="11">
        <f>IF(AND(F304&gt;0,G304&gt;0),F304/G304,"")</f>
        <v/>
      </c>
    </row>
    <row r="305">
      <c r="A305" s="4" t="inlineStr">
        <is>
          <t>322</t>
        </is>
      </c>
      <c r="B305" s="4" t="n">
        <v>3</v>
      </c>
      <c r="C305" s="4" t="inlineStr">
        <is>
          <t>mule deer</t>
        </is>
      </c>
      <c r="D305" s="4" t="n">
        <v>2021</v>
      </c>
      <c r="E305" s="5" t="n">
        <v>1354</v>
      </c>
      <c r="F305" s="5" t="n">
        <v>6729</v>
      </c>
      <c r="G305" s="5" t="n">
        <v>239</v>
      </c>
      <c r="H305" s="10">
        <f>IF(E305&gt;0,G305/E305,"")</f>
        <v/>
      </c>
      <c r="I305" s="11">
        <f>IF(AND(F305&gt;0,G305&gt;0),F305/G305,"")</f>
        <v/>
      </c>
    </row>
    <row r="306">
      <c r="A306" s="4" t="inlineStr">
        <is>
          <t>322</t>
        </is>
      </c>
      <c r="B306" s="4" t="n">
        <v>3</v>
      </c>
      <c r="C306" s="4" t="inlineStr">
        <is>
          <t>mule deer</t>
        </is>
      </c>
      <c r="D306" s="4" t="n">
        <v>2022</v>
      </c>
      <c r="E306" s="5" t="n"/>
      <c r="F306" s="5" t="n"/>
      <c r="G306" s="5" t="n">
        <v>1304</v>
      </c>
      <c r="H306" s="10">
        <f>IF(E306&gt;0,G306/E306,"")</f>
        <v/>
      </c>
      <c r="I306" s="11">
        <f>IF(AND(F306&gt;0,G306&gt;0),F306/G306,"")</f>
        <v/>
      </c>
    </row>
    <row r="307">
      <c r="A307" s="4" t="inlineStr">
        <is>
          <t>322</t>
        </is>
      </c>
      <c r="B307" s="4" t="n">
        <v>3</v>
      </c>
      <c r="C307" s="4" t="inlineStr">
        <is>
          <t>mule deer</t>
        </is>
      </c>
      <c r="D307" s="4" t="n">
        <v>2023</v>
      </c>
      <c r="E307" s="5" t="n">
        <v>6176</v>
      </c>
      <c r="F307" s="5" t="n">
        <v>42243</v>
      </c>
      <c r="G307" s="5" t="n">
        <v>1248</v>
      </c>
      <c r="H307" s="10">
        <f>IF(E307&gt;0,G307/E307,"")</f>
        <v/>
      </c>
      <c r="I307" s="11">
        <f>IF(AND(F307&gt;0,G307&gt;0),F307/G307,"")</f>
        <v/>
      </c>
    </row>
    <row r="308">
      <c r="A308" s="4" t="inlineStr">
        <is>
          <t>322</t>
        </is>
      </c>
      <c r="B308" s="4" t="n">
        <v>3</v>
      </c>
      <c r="C308" s="4" t="inlineStr">
        <is>
          <t>mule deer</t>
        </is>
      </c>
      <c r="D308" s="4" t="n">
        <v>2024</v>
      </c>
      <c r="E308" s="5" t="n"/>
      <c r="F308" s="5" t="n"/>
      <c r="G308" s="5" t="n">
        <v>338</v>
      </c>
      <c r="H308" s="10">
        <f>IF(E308&gt;0,G308/E308,"")</f>
        <v/>
      </c>
      <c r="I308" s="11">
        <f>IF(AND(F308&gt;0,G308&gt;0),F308/G308,"")</f>
        <v/>
      </c>
    </row>
    <row r="309">
      <c r="A309" s="4" t="inlineStr">
        <is>
          <t>322</t>
        </is>
      </c>
      <c r="B309" s="4" t="n">
        <v>3</v>
      </c>
      <c r="C309" s="4" t="inlineStr">
        <is>
          <t>mule deer</t>
        </is>
      </c>
      <c r="D309" s="4" t="n">
        <v>2025</v>
      </c>
      <c r="E309" s="5" t="n">
        <v>1599</v>
      </c>
      <c r="F309" s="5" t="n">
        <v>10598</v>
      </c>
      <c r="G309" s="5" t="n">
        <v>261</v>
      </c>
      <c r="H309" s="10">
        <f>IF(E309&gt;0,G309/E309,"")</f>
        <v/>
      </c>
      <c r="I309" s="11">
        <f>IF(AND(F309&gt;0,G309&gt;0),F309/G309,"")</f>
        <v/>
      </c>
    </row>
    <row r="310">
      <c r="A310" s="4" t="inlineStr">
        <is>
          <t>323</t>
        </is>
      </c>
      <c r="B310" s="4" t="n">
        <v>3</v>
      </c>
      <c r="C310" s="4" t="inlineStr">
        <is>
          <t>mule deer</t>
        </is>
      </c>
      <c r="D310" s="4" t="n">
        <v>2021</v>
      </c>
      <c r="E310" s="5" t="n">
        <v>461</v>
      </c>
      <c r="F310" s="5" t="n">
        <v>3090</v>
      </c>
      <c r="G310" s="5" t="n">
        <v>56</v>
      </c>
      <c r="H310" s="10">
        <f>IF(E310&gt;0,G310/E310,"")</f>
        <v/>
      </c>
      <c r="I310" s="11">
        <f>IF(AND(F310&gt;0,G310&gt;0),F310/G310,"")</f>
        <v/>
      </c>
    </row>
    <row r="311">
      <c r="A311" s="4" t="inlineStr">
        <is>
          <t>323</t>
        </is>
      </c>
      <c r="B311" s="4" t="n">
        <v>3</v>
      </c>
      <c r="C311" s="4" t="inlineStr">
        <is>
          <t>mule deer</t>
        </is>
      </c>
      <c r="D311" s="4" t="n">
        <v>2024</v>
      </c>
      <c r="E311" s="5" t="n"/>
      <c r="F311" s="5" t="n"/>
      <c r="G311" s="5" t="n">
        <v>474</v>
      </c>
      <c r="H311" s="10">
        <f>IF(E311&gt;0,G311/E311,"")</f>
        <v/>
      </c>
      <c r="I311" s="11">
        <f>IF(AND(F311&gt;0,G311&gt;0),F311/G311,"")</f>
        <v/>
      </c>
    </row>
    <row r="312">
      <c r="A312" s="4" t="inlineStr">
        <is>
          <t>323</t>
        </is>
      </c>
      <c r="B312" s="4" t="n">
        <v>3</v>
      </c>
      <c r="C312" s="4" t="inlineStr">
        <is>
          <t>mule deer</t>
        </is>
      </c>
      <c r="D312" s="4" t="n">
        <v>2025</v>
      </c>
      <c r="E312" s="5" t="n">
        <v>2639</v>
      </c>
      <c r="F312" s="5" t="n">
        <v>17036</v>
      </c>
      <c r="G312" s="5" t="n">
        <v>400</v>
      </c>
      <c r="H312" s="10">
        <f>IF(E312&gt;0,G312/E312,"")</f>
        <v/>
      </c>
      <c r="I312" s="11">
        <f>IF(AND(F312&gt;0,G312&gt;0),F312/G312,"")</f>
        <v/>
      </c>
    </row>
    <row r="313">
      <c r="A313" s="4" t="inlineStr">
        <is>
          <t>324</t>
        </is>
      </c>
      <c r="B313" s="4" t="n">
        <v>3</v>
      </c>
      <c r="C313" s="4" t="inlineStr">
        <is>
          <t>mule deer</t>
        </is>
      </c>
      <c r="D313" s="4" t="n">
        <v>2021</v>
      </c>
      <c r="E313" s="5" t="n">
        <v>532</v>
      </c>
      <c r="F313" s="5" t="n">
        <v>3545</v>
      </c>
      <c r="G313" s="5" t="n">
        <v>60</v>
      </c>
      <c r="H313" s="10">
        <f>IF(E313&gt;0,G313/E313,"")</f>
        <v/>
      </c>
      <c r="I313" s="11">
        <f>IF(AND(F313&gt;0,G313&gt;0),F313/G313,"")</f>
        <v/>
      </c>
    </row>
    <row r="314">
      <c r="A314" s="4" t="inlineStr">
        <is>
          <t>324</t>
        </is>
      </c>
      <c r="B314" s="4" t="n">
        <v>3</v>
      </c>
      <c r="C314" s="4" t="inlineStr">
        <is>
          <t>mule deer</t>
        </is>
      </c>
      <c r="D314" s="4" t="n">
        <v>2024</v>
      </c>
      <c r="E314" s="5" t="n"/>
      <c r="F314" s="5" t="n"/>
      <c r="G314" s="5" t="n">
        <v>295</v>
      </c>
      <c r="H314" s="10">
        <f>IF(E314&gt;0,G314/E314,"")</f>
        <v/>
      </c>
      <c r="I314" s="11">
        <f>IF(AND(F314&gt;0,G314&gt;0),F314/G314,"")</f>
        <v/>
      </c>
    </row>
    <row r="315">
      <c r="A315" s="4" t="inlineStr">
        <is>
          <t>324</t>
        </is>
      </c>
      <c r="B315" s="4" t="n">
        <v>3</v>
      </c>
      <c r="C315" s="4" t="inlineStr">
        <is>
          <t>mule deer</t>
        </is>
      </c>
      <c r="D315" s="4" t="n">
        <v>2025</v>
      </c>
      <c r="E315" s="5" t="n">
        <v>1535</v>
      </c>
      <c r="F315" s="5" t="n">
        <v>9522</v>
      </c>
      <c r="G315" s="5" t="n">
        <v>274</v>
      </c>
      <c r="H315" s="10">
        <f>IF(E315&gt;0,G315/E315,"")</f>
        <v/>
      </c>
      <c r="I315" s="11">
        <f>IF(AND(F315&gt;0,G315&gt;0),F315/G315,"")</f>
        <v/>
      </c>
    </row>
    <row r="316">
      <c r="A316" s="4" t="inlineStr">
        <is>
          <t>325</t>
        </is>
      </c>
      <c r="B316" s="4" t="n">
        <v>3</v>
      </c>
      <c r="C316" s="4" t="inlineStr">
        <is>
          <t>mule deer</t>
        </is>
      </c>
      <c r="D316" s="4" t="n">
        <v>2021</v>
      </c>
      <c r="E316" s="5" t="n">
        <v>1647</v>
      </c>
      <c r="F316" s="5" t="n">
        <v>9594</v>
      </c>
      <c r="G316" s="5" t="n">
        <v>463</v>
      </c>
      <c r="H316" s="10">
        <f>IF(E316&gt;0,G316/E316,"")</f>
        <v/>
      </c>
      <c r="I316" s="11">
        <f>IF(AND(F316&gt;0,G316&gt;0),F316/G316,"")</f>
        <v/>
      </c>
    </row>
    <row r="317">
      <c r="A317" s="4" t="inlineStr">
        <is>
          <t>326</t>
        </is>
      </c>
      <c r="B317" s="4" t="n">
        <v>3</v>
      </c>
      <c r="C317" s="4" t="inlineStr">
        <is>
          <t>mule deer</t>
        </is>
      </c>
      <c r="D317" s="4" t="n">
        <v>2021</v>
      </c>
      <c r="E317" s="5" t="n">
        <v>597</v>
      </c>
      <c r="F317" s="5" t="n">
        <v>3199</v>
      </c>
      <c r="G317" s="5" t="n">
        <v>150</v>
      </c>
      <c r="H317" s="10">
        <f>IF(E317&gt;0,G317/E317,"")</f>
        <v/>
      </c>
      <c r="I317" s="11">
        <f>IF(AND(F317&gt;0,G317&gt;0),F317/G317,"")</f>
        <v/>
      </c>
    </row>
    <row r="318">
      <c r="A318" s="4" t="inlineStr">
        <is>
          <t>327</t>
        </is>
      </c>
      <c r="B318" s="4" t="n">
        <v>3</v>
      </c>
      <c r="C318" s="4" t="inlineStr">
        <is>
          <t>mule deer</t>
        </is>
      </c>
      <c r="D318" s="4" t="n">
        <v>2021</v>
      </c>
      <c r="E318" s="5" t="n">
        <v>546</v>
      </c>
      <c r="F318" s="5" t="n">
        <v>3451</v>
      </c>
      <c r="G318" s="5" t="n">
        <v>70</v>
      </c>
      <c r="H318" s="10">
        <f>IF(E318&gt;0,G318/E318,"")</f>
        <v/>
      </c>
      <c r="I318" s="11">
        <f>IF(AND(F318&gt;0,G318&gt;0),F318/G318,"")</f>
        <v/>
      </c>
    </row>
    <row r="319">
      <c r="A319" s="4" t="inlineStr">
        <is>
          <t>328</t>
        </is>
      </c>
      <c r="B319" s="4" t="n">
        <v>3</v>
      </c>
      <c r="C319" s="4" t="inlineStr">
        <is>
          <t>mule deer</t>
        </is>
      </c>
      <c r="D319" s="4" t="n">
        <v>2021</v>
      </c>
      <c r="E319" s="5" t="n">
        <v>320</v>
      </c>
      <c r="F319" s="5" t="n">
        <v>1581</v>
      </c>
      <c r="G319" s="5" t="n">
        <v>57</v>
      </c>
      <c r="H319" s="10">
        <f>IF(E319&gt;0,G319/E319,"")</f>
        <v/>
      </c>
      <c r="I319" s="11">
        <f>IF(AND(F319&gt;0,G319&gt;0),F319/G319,"")</f>
        <v/>
      </c>
    </row>
    <row r="320">
      <c r="A320" s="4" t="inlineStr">
        <is>
          <t>329</t>
        </is>
      </c>
      <c r="B320" s="4" t="n">
        <v>3</v>
      </c>
      <c r="C320" s="4" t="inlineStr">
        <is>
          <t>mule deer</t>
        </is>
      </c>
      <c r="D320" s="4" t="n">
        <v>2021</v>
      </c>
      <c r="E320" s="5" t="n">
        <v>839</v>
      </c>
      <c r="F320" s="5" t="n">
        <v>5236</v>
      </c>
      <c r="G320" s="5" t="n">
        <v>123</v>
      </c>
      <c r="H320" s="10">
        <f>IF(E320&gt;0,G320/E320,"")</f>
        <v/>
      </c>
      <c r="I320" s="11">
        <f>IF(AND(F320&gt;0,G320&gt;0),F320/G320,"")</f>
        <v/>
      </c>
    </row>
    <row r="321">
      <c r="A321" s="4" t="inlineStr">
        <is>
          <t>329</t>
        </is>
      </c>
      <c r="B321" s="4" t="n">
        <v>3</v>
      </c>
      <c r="C321" s="4" t="inlineStr">
        <is>
          <t>mule deer</t>
        </is>
      </c>
      <c r="D321" s="4" t="n">
        <v>2022</v>
      </c>
      <c r="E321" s="5" t="n"/>
      <c r="F321" s="5" t="n"/>
      <c r="G321" s="5" t="n">
        <v>116</v>
      </c>
      <c r="H321" s="10">
        <f>IF(E321&gt;0,G321/E321,"")</f>
        <v/>
      </c>
      <c r="I321" s="11">
        <f>IF(AND(F321&gt;0,G321&gt;0),F321/G321,"")</f>
        <v/>
      </c>
    </row>
    <row r="322">
      <c r="A322" s="4" t="inlineStr">
        <is>
          <t>329</t>
        </is>
      </c>
      <c r="B322" s="4" t="n">
        <v>3</v>
      </c>
      <c r="C322" s="4" t="inlineStr">
        <is>
          <t>mule deer</t>
        </is>
      </c>
      <c r="D322" s="4" t="n">
        <v>2023</v>
      </c>
      <c r="E322" s="5" t="n">
        <v>1025</v>
      </c>
      <c r="F322" s="5" t="n">
        <v>6414</v>
      </c>
      <c r="G322" s="5" t="n">
        <v>136</v>
      </c>
      <c r="H322" s="10">
        <f>IF(E322&gt;0,G322/E322,"")</f>
        <v/>
      </c>
      <c r="I322" s="11">
        <f>IF(AND(F322&gt;0,G322&gt;0),F322/G322,"")</f>
        <v/>
      </c>
    </row>
    <row r="323">
      <c r="A323" s="4" t="inlineStr">
        <is>
          <t>329</t>
        </is>
      </c>
      <c r="B323" s="4" t="n">
        <v>3</v>
      </c>
      <c r="C323" s="4" t="inlineStr">
        <is>
          <t>mule deer</t>
        </is>
      </c>
      <c r="D323" s="4" t="n">
        <v>2024</v>
      </c>
      <c r="E323" s="5" t="n"/>
      <c r="F323" s="5" t="n"/>
      <c r="G323" s="5" t="n">
        <v>160</v>
      </c>
      <c r="H323" s="10">
        <f>IF(E323&gt;0,G323/E323,"")</f>
        <v/>
      </c>
      <c r="I323" s="11">
        <f>IF(AND(F323&gt;0,G323&gt;0),F323/G323,"")</f>
        <v/>
      </c>
    </row>
    <row r="324">
      <c r="A324" s="4" t="inlineStr">
        <is>
          <t>329</t>
        </is>
      </c>
      <c r="B324" s="4" t="n">
        <v>3</v>
      </c>
      <c r="C324" s="4" t="inlineStr">
        <is>
          <t>mule deer</t>
        </is>
      </c>
      <c r="D324" s="4" t="n">
        <v>2025</v>
      </c>
      <c r="E324" s="5" t="n">
        <v>1184</v>
      </c>
      <c r="F324" s="5" t="n">
        <v>7279</v>
      </c>
      <c r="G324" s="5" t="n">
        <v>192</v>
      </c>
      <c r="H324" s="10">
        <f>IF(E324&gt;0,G324/E324,"")</f>
        <v/>
      </c>
      <c r="I324" s="11">
        <f>IF(AND(F324&gt;0,G324&gt;0),F324/G324,"")</f>
        <v/>
      </c>
    </row>
    <row r="325">
      <c r="A325" s="4" t="inlineStr">
        <is>
          <t>330</t>
        </is>
      </c>
      <c r="B325" s="4" t="n">
        <v>3</v>
      </c>
      <c r="C325" s="4" t="inlineStr">
        <is>
          <t>mule deer</t>
        </is>
      </c>
      <c r="D325" s="4" t="n">
        <v>2021</v>
      </c>
      <c r="E325" s="5" t="n">
        <v>1008</v>
      </c>
      <c r="F325" s="5" t="n">
        <v>6837</v>
      </c>
      <c r="G325" s="5" t="n">
        <v>200</v>
      </c>
      <c r="H325" s="10">
        <f>IF(E325&gt;0,G325/E325,"")</f>
        <v/>
      </c>
      <c r="I325" s="11">
        <f>IF(AND(F325&gt;0,G325&gt;0),F325/G325,"")</f>
        <v/>
      </c>
    </row>
    <row r="326">
      <c r="A326" s="4" t="inlineStr">
        <is>
          <t>331</t>
        </is>
      </c>
      <c r="B326" s="4" t="n">
        <v>3</v>
      </c>
      <c r="C326" s="4" t="inlineStr">
        <is>
          <t>mule deer</t>
        </is>
      </c>
      <c r="D326" s="4" t="n">
        <v>2021</v>
      </c>
      <c r="E326" s="5" t="n">
        <v>1485</v>
      </c>
      <c r="F326" s="5" t="n">
        <v>10368</v>
      </c>
      <c r="G326" s="5" t="n">
        <v>297</v>
      </c>
      <c r="H326" s="10">
        <f>IF(E326&gt;0,G326/E326,"")</f>
        <v/>
      </c>
      <c r="I326" s="11">
        <f>IF(AND(F326&gt;0,G326&gt;0),F326/G326,"")</f>
        <v/>
      </c>
    </row>
    <row r="327">
      <c r="A327" s="4" t="inlineStr">
        <is>
          <t>331</t>
        </is>
      </c>
      <c r="B327" s="4" t="n">
        <v>3</v>
      </c>
      <c r="C327" s="4" t="inlineStr">
        <is>
          <t>mule deer</t>
        </is>
      </c>
      <c r="D327" s="4" t="n">
        <v>2022</v>
      </c>
      <c r="E327" s="5" t="n"/>
      <c r="F327" s="5" t="n"/>
      <c r="G327" s="5" t="n">
        <v>345</v>
      </c>
      <c r="H327" s="10">
        <f>IF(E327&gt;0,G327/E327,"")</f>
        <v/>
      </c>
      <c r="I327" s="11">
        <f>IF(AND(F327&gt;0,G327&gt;0),F327/G327,"")</f>
        <v/>
      </c>
    </row>
    <row r="328">
      <c r="A328" s="4" t="inlineStr">
        <is>
          <t>331</t>
        </is>
      </c>
      <c r="B328" s="4" t="n">
        <v>3</v>
      </c>
      <c r="C328" s="4" t="inlineStr">
        <is>
          <t>mule deer</t>
        </is>
      </c>
      <c r="D328" s="4" t="n">
        <v>2023</v>
      </c>
      <c r="E328" s="5" t="n">
        <v>2009</v>
      </c>
      <c r="F328" s="5" t="n">
        <v>14147</v>
      </c>
      <c r="G328" s="5" t="n">
        <v>310</v>
      </c>
      <c r="H328" s="10">
        <f>IF(E328&gt;0,G328/E328,"")</f>
        <v/>
      </c>
      <c r="I328" s="11">
        <f>IF(AND(F328&gt;0,G328&gt;0),F328/G328,"")</f>
        <v/>
      </c>
    </row>
    <row r="329">
      <c r="A329" s="4" t="inlineStr">
        <is>
          <t>331</t>
        </is>
      </c>
      <c r="B329" s="4" t="n">
        <v>3</v>
      </c>
      <c r="C329" s="4" t="inlineStr">
        <is>
          <t>mule deer</t>
        </is>
      </c>
      <c r="D329" s="4" t="n">
        <v>2024</v>
      </c>
      <c r="E329" s="5" t="n"/>
      <c r="F329" s="5" t="n"/>
      <c r="G329" s="5" t="n">
        <v>481</v>
      </c>
      <c r="H329" s="10">
        <f>IF(E329&gt;0,G329/E329,"")</f>
        <v/>
      </c>
      <c r="I329" s="11">
        <f>IF(AND(F329&gt;0,G329&gt;0),F329/G329,"")</f>
        <v/>
      </c>
    </row>
    <row r="330">
      <c r="A330" s="4" t="inlineStr">
        <is>
          <t>331</t>
        </is>
      </c>
      <c r="B330" s="4" t="n">
        <v>3</v>
      </c>
      <c r="C330" s="4" t="inlineStr">
        <is>
          <t>mule deer</t>
        </is>
      </c>
      <c r="D330" s="4" t="n">
        <v>2025</v>
      </c>
      <c r="E330" s="5" t="n">
        <v>2606</v>
      </c>
      <c r="F330" s="5" t="n">
        <v>20916</v>
      </c>
      <c r="G330" s="5" t="n">
        <v>415</v>
      </c>
      <c r="H330" s="10">
        <f>IF(E330&gt;0,G330/E330,"")</f>
        <v/>
      </c>
      <c r="I330" s="11">
        <f>IF(AND(F330&gt;0,G330&gt;0),F330/G330,"")</f>
        <v/>
      </c>
    </row>
    <row r="331">
      <c r="A331" s="4" t="inlineStr">
        <is>
          <t>332</t>
        </is>
      </c>
      <c r="B331" s="4" t="n">
        <v>3</v>
      </c>
      <c r="C331" s="4" t="inlineStr">
        <is>
          <t>mule deer</t>
        </is>
      </c>
      <c r="D331" s="4" t="n">
        <v>2021</v>
      </c>
      <c r="E331" s="5" t="n">
        <v>478</v>
      </c>
      <c r="F331" s="5" t="n">
        <v>3115</v>
      </c>
      <c r="G331" s="5" t="n">
        <v>49</v>
      </c>
      <c r="H331" s="10">
        <f>IF(E331&gt;0,G331/E331,"")</f>
        <v/>
      </c>
      <c r="I331" s="11">
        <f>IF(AND(F331&gt;0,G331&gt;0),F331/G331,"")</f>
        <v/>
      </c>
    </row>
    <row r="332">
      <c r="A332" s="4" t="inlineStr">
        <is>
          <t>333</t>
        </is>
      </c>
      <c r="B332" s="4" t="n">
        <v>3</v>
      </c>
      <c r="C332" s="4" t="inlineStr">
        <is>
          <t>mule deer</t>
        </is>
      </c>
      <c r="D332" s="4" t="n">
        <v>2021</v>
      </c>
      <c r="E332" s="5" t="n">
        <v>1452</v>
      </c>
      <c r="F332" s="5" t="n">
        <v>9148</v>
      </c>
      <c r="G332" s="5" t="n">
        <v>259</v>
      </c>
      <c r="H332" s="10">
        <f>IF(E332&gt;0,G332/E332,"")</f>
        <v/>
      </c>
      <c r="I332" s="11">
        <f>IF(AND(F332&gt;0,G332&gt;0),F332/G332,"")</f>
        <v/>
      </c>
    </row>
    <row r="333">
      <c r="A333" s="4" t="inlineStr">
        <is>
          <t>334</t>
        </is>
      </c>
      <c r="B333" s="4" t="n">
        <v>3</v>
      </c>
      <c r="C333" s="4" t="inlineStr">
        <is>
          <t>mule deer</t>
        </is>
      </c>
      <c r="D333" s="4" t="n">
        <v>2021</v>
      </c>
      <c r="E333" s="5" t="n">
        <v>238</v>
      </c>
      <c r="F333" s="5" t="n">
        <v>1505</v>
      </c>
      <c r="G333" s="5" t="n">
        <v>20</v>
      </c>
      <c r="H333" s="10">
        <f>IF(E333&gt;0,G333/E333,"")</f>
        <v/>
      </c>
      <c r="I333" s="11">
        <f>IF(AND(F333&gt;0,G333&gt;0),F333/G333,"")</f>
        <v/>
      </c>
    </row>
    <row r="334">
      <c r="A334" s="4" t="inlineStr">
        <is>
          <t>335</t>
        </is>
      </c>
      <c r="B334" s="4" t="n">
        <v>3</v>
      </c>
      <c r="C334" s="4" t="inlineStr">
        <is>
          <t>mule deer</t>
        </is>
      </c>
      <c r="D334" s="4" t="n">
        <v>2021</v>
      </c>
      <c r="E334" s="5" t="n">
        <v>875</v>
      </c>
      <c r="F334" s="5" t="n">
        <v>6923</v>
      </c>
      <c r="G334" s="5" t="n">
        <v>206</v>
      </c>
      <c r="H334" s="10">
        <f>IF(E334&gt;0,G334/E334,"")</f>
        <v/>
      </c>
      <c r="I334" s="11">
        <f>IF(AND(F334&gt;0,G334&gt;0),F334/G334,"")</f>
        <v/>
      </c>
    </row>
    <row r="335">
      <c r="A335" s="4" t="inlineStr">
        <is>
          <t>335</t>
        </is>
      </c>
      <c r="B335" s="4" t="n">
        <v>3</v>
      </c>
      <c r="C335" s="4" t="inlineStr">
        <is>
          <t>mule deer</t>
        </is>
      </c>
      <c r="D335" s="4" t="n">
        <v>2022</v>
      </c>
      <c r="E335" s="5" t="n"/>
      <c r="F335" s="5" t="n"/>
      <c r="G335" s="5" t="n">
        <v>249</v>
      </c>
      <c r="H335" s="10">
        <f>IF(E335&gt;0,G335/E335,"")</f>
        <v/>
      </c>
      <c r="I335" s="11">
        <f>IF(AND(F335&gt;0,G335&gt;0),F335/G335,"")</f>
        <v/>
      </c>
    </row>
    <row r="336">
      <c r="A336" s="4" t="inlineStr">
        <is>
          <t>335</t>
        </is>
      </c>
      <c r="B336" s="4" t="n">
        <v>3</v>
      </c>
      <c r="C336" s="4" t="inlineStr">
        <is>
          <t>mule deer</t>
        </is>
      </c>
      <c r="D336" s="4" t="n">
        <v>2023</v>
      </c>
      <c r="E336" s="5" t="n">
        <v>1100</v>
      </c>
      <c r="F336" s="5" t="n">
        <v>9091</v>
      </c>
      <c r="G336" s="5" t="n">
        <v>245</v>
      </c>
      <c r="H336" s="10">
        <f>IF(E336&gt;0,G336/E336,"")</f>
        <v/>
      </c>
      <c r="I336" s="11">
        <f>IF(AND(F336&gt;0,G336&gt;0),F336/G336,"")</f>
        <v/>
      </c>
    </row>
    <row r="337">
      <c r="A337" s="4" t="inlineStr">
        <is>
          <t>335</t>
        </is>
      </c>
      <c r="B337" s="4" t="n">
        <v>3</v>
      </c>
      <c r="C337" s="4" t="inlineStr">
        <is>
          <t>mule deer</t>
        </is>
      </c>
      <c r="D337" s="4" t="n">
        <v>2024</v>
      </c>
      <c r="E337" s="5" t="n"/>
      <c r="F337" s="5" t="n"/>
      <c r="G337" s="5" t="n">
        <v>244</v>
      </c>
      <c r="H337" s="10">
        <f>IF(E337&gt;0,G337/E337,"")</f>
        <v/>
      </c>
      <c r="I337" s="11">
        <f>IF(AND(F337&gt;0,G337&gt;0),F337/G337,"")</f>
        <v/>
      </c>
    </row>
    <row r="338">
      <c r="A338" s="4" t="inlineStr">
        <is>
          <t>335</t>
        </is>
      </c>
      <c r="B338" s="4" t="n">
        <v>3</v>
      </c>
      <c r="C338" s="4" t="inlineStr">
        <is>
          <t>mule deer</t>
        </is>
      </c>
      <c r="D338" s="4" t="n">
        <v>2025</v>
      </c>
      <c r="E338" s="5" t="n">
        <v>1194</v>
      </c>
      <c r="F338" s="5" t="n">
        <v>8438</v>
      </c>
      <c r="G338" s="5" t="n">
        <v>256</v>
      </c>
      <c r="H338" s="10">
        <f>IF(E338&gt;0,G338/E338,"")</f>
        <v/>
      </c>
      <c r="I338" s="11">
        <f>IF(AND(F338&gt;0,G338&gt;0),F338/G338,"")</f>
        <v/>
      </c>
    </row>
    <row r="339">
      <c r="A339" s="4" t="inlineStr">
        <is>
          <t>339</t>
        </is>
      </c>
      <c r="B339" s="4" t="n">
        <v>3</v>
      </c>
      <c r="C339" s="4" t="inlineStr">
        <is>
          <t>mule deer</t>
        </is>
      </c>
      <c r="D339" s="4" t="n">
        <v>2021</v>
      </c>
      <c r="E339" s="5" t="n">
        <v>633</v>
      </c>
      <c r="F339" s="5" t="n">
        <v>4031</v>
      </c>
      <c r="G339" s="5" t="n">
        <v>105</v>
      </c>
      <c r="H339" s="10">
        <f>IF(E339&gt;0,G339/E339,"")</f>
        <v/>
      </c>
      <c r="I339" s="11">
        <f>IF(AND(F339&gt;0,G339&gt;0),F339/G339,"")</f>
        <v/>
      </c>
    </row>
    <row r="340">
      <c r="A340" s="4" t="inlineStr">
        <is>
          <t>339</t>
        </is>
      </c>
      <c r="B340" s="4" t="n">
        <v>3</v>
      </c>
      <c r="C340" s="4" t="inlineStr">
        <is>
          <t>mule deer</t>
        </is>
      </c>
      <c r="D340" s="4" t="n">
        <v>2022</v>
      </c>
      <c r="E340" s="5" t="n"/>
      <c r="F340" s="5" t="n"/>
      <c r="G340" s="5" t="n">
        <v>110</v>
      </c>
      <c r="H340" s="10">
        <f>IF(E340&gt;0,G340/E340,"")</f>
        <v/>
      </c>
      <c r="I340" s="11">
        <f>IF(AND(F340&gt;0,G340&gt;0),F340/G340,"")</f>
        <v/>
      </c>
    </row>
    <row r="341">
      <c r="A341" s="4" t="inlineStr">
        <is>
          <t>339</t>
        </is>
      </c>
      <c r="B341" s="4" t="n">
        <v>3</v>
      </c>
      <c r="C341" s="4" t="inlineStr">
        <is>
          <t>mule deer</t>
        </is>
      </c>
      <c r="D341" s="4" t="n">
        <v>2023</v>
      </c>
      <c r="E341" s="5" t="n">
        <v>653</v>
      </c>
      <c r="F341" s="5" t="n">
        <v>4192</v>
      </c>
      <c r="G341" s="5" t="n">
        <v>111</v>
      </c>
      <c r="H341" s="10">
        <f>IF(E341&gt;0,G341/E341,"")</f>
        <v/>
      </c>
      <c r="I341" s="11">
        <f>IF(AND(F341&gt;0,G341&gt;0),F341/G341,"")</f>
        <v/>
      </c>
    </row>
    <row r="342">
      <c r="A342" s="4" t="inlineStr">
        <is>
          <t>339</t>
        </is>
      </c>
      <c r="B342" s="4" t="n">
        <v>3</v>
      </c>
      <c r="C342" s="4" t="inlineStr">
        <is>
          <t>mule deer</t>
        </is>
      </c>
      <c r="D342" s="4" t="n">
        <v>2024</v>
      </c>
      <c r="E342" s="5" t="n"/>
      <c r="F342" s="5" t="n"/>
      <c r="G342" s="5" t="n">
        <v>121</v>
      </c>
      <c r="H342" s="10">
        <f>IF(E342&gt;0,G342/E342,"")</f>
        <v/>
      </c>
      <c r="I342" s="11">
        <f>IF(AND(F342&gt;0,G342&gt;0),F342/G342,"")</f>
        <v/>
      </c>
    </row>
    <row r="343">
      <c r="A343" s="4" t="inlineStr">
        <is>
          <t>339</t>
        </is>
      </c>
      <c r="B343" s="4" t="n">
        <v>3</v>
      </c>
      <c r="C343" s="4" t="inlineStr">
        <is>
          <t>mule deer</t>
        </is>
      </c>
      <c r="D343" s="4" t="n">
        <v>2025</v>
      </c>
      <c r="E343" s="5" t="n">
        <v>870</v>
      </c>
      <c r="F343" s="5" t="n">
        <v>5989</v>
      </c>
      <c r="G343" s="5" t="n">
        <v>132</v>
      </c>
      <c r="H343" s="10">
        <f>IF(E343&gt;0,G343/E343,"")</f>
        <v/>
      </c>
      <c r="I343" s="11">
        <f>IF(AND(F343&gt;0,G343&gt;0),F343/G343,"")</f>
        <v/>
      </c>
    </row>
    <row r="344">
      <c r="A344" s="4" t="inlineStr">
        <is>
          <t>340</t>
        </is>
      </c>
      <c r="B344" s="4" t="n">
        <v>3</v>
      </c>
      <c r="C344" s="4" t="inlineStr">
        <is>
          <t>mule deer</t>
        </is>
      </c>
      <c r="D344" s="4" t="n">
        <v>2021</v>
      </c>
      <c r="E344" s="5" t="n">
        <v>2067</v>
      </c>
      <c r="F344" s="5" t="n">
        <v>13242</v>
      </c>
      <c r="G344" s="5" t="n">
        <v>355</v>
      </c>
      <c r="H344" s="10">
        <f>IF(E344&gt;0,G344/E344,"")</f>
        <v/>
      </c>
      <c r="I344" s="11">
        <f>IF(AND(F344&gt;0,G344&gt;0),F344/G344,"")</f>
        <v/>
      </c>
    </row>
    <row r="345">
      <c r="A345" s="4" t="inlineStr">
        <is>
          <t>340</t>
        </is>
      </c>
      <c r="B345" s="4" t="n">
        <v>3</v>
      </c>
      <c r="C345" s="4" t="inlineStr">
        <is>
          <t>mule deer</t>
        </is>
      </c>
      <c r="D345" s="4" t="n">
        <v>2022</v>
      </c>
      <c r="E345" s="5" t="n"/>
      <c r="F345" s="5" t="n"/>
      <c r="G345" s="5" t="n">
        <v>187</v>
      </c>
      <c r="H345" s="10">
        <f>IF(E345&gt;0,G345/E345,"")</f>
        <v/>
      </c>
      <c r="I345" s="11">
        <f>IF(AND(F345&gt;0,G345&gt;0),F345/G345,"")</f>
        <v/>
      </c>
    </row>
    <row r="346">
      <c r="A346" s="4" t="inlineStr">
        <is>
          <t>340</t>
        </is>
      </c>
      <c r="B346" s="4" t="n">
        <v>3</v>
      </c>
      <c r="C346" s="4" t="inlineStr">
        <is>
          <t>mule deer</t>
        </is>
      </c>
      <c r="D346" s="4" t="n">
        <v>2023</v>
      </c>
      <c r="E346" s="5" t="n">
        <v>1963</v>
      </c>
      <c r="F346" s="5" t="n">
        <v>12717</v>
      </c>
      <c r="G346" s="5" t="n">
        <v>221</v>
      </c>
      <c r="H346" s="10">
        <f>IF(E346&gt;0,G346/E346,"")</f>
        <v/>
      </c>
      <c r="I346" s="11">
        <f>IF(AND(F346&gt;0,G346&gt;0),F346/G346,"")</f>
        <v/>
      </c>
    </row>
    <row r="347">
      <c r="A347" s="4" t="inlineStr">
        <is>
          <t>340</t>
        </is>
      </c>
      <c r="B347" s="4" t="n">
        <v>3</v>
      </c>
      <c r="C347" s="4" t="inlineStr">
        <is>
          <t>mule deer</t>
        </is>
      </c>
      <c r="D347" s="4" t="n">
        <v>2024</v>
      </c>
      <c r="E347" s="5" t="n"/>
      <c r="F347" s="5" t="n"/>
      <c r="G347" s="5" t="n">
        <v>307</v>
      </c>
      <c r="H347" s="10">
        <f>IF(E347&gt;0,G347/E347,"")</f>
        <v/>
      </c>
      <c r="I347" s="11">
        <f>IF(AND(F347&gt;0,G347&gt;0),F347/G347,"")</f>
        <v/>
      </c>
    </row>
    <row r="348">
      <c r="A348" s="4" t="inlineStr">
        <is>
          <t>340</t>
        </is>
      </c>
      <c r="B348" s="4" t="n">
        <v>3</v>
      </c>
      <c r="C348" s="4" t="inlineStr">
        <is>
          <t>mule deer</t>
        </is>
      </c>
      <c r="D348" s="4" t="n">
        <v>2025</v>
      </c>
      <c r="E348" s="5" t="n">
        <v>1922</v>
      </c>
      <c r="F348" s="5" t="n">
        <v>12825</v>
      </c>
      <c r="G348" s="5" t="n">
        <v>273</v>
      </c>
      <c r="H348" s="10">
        <f>IF(E348&gt;0,G348/E348,"")</f>
        <v/>
      </c>
      <c r="I348" s="11">
        <f>IF(AND(F348&gt;0,G348&gt;0),F348/G348,"")</f>
        <v/>
      </c>
    </row>
    <row r="349">
      <c r="A349" s="4" t="inlineStr">
        <is>
          <t>341</t>
        </is>
      </c>
      <c r="B349" s="4" t="n">
        <v>3</v>
      </c>
      <c r="C349" s="4" t="inlineStr">
        <is>
          <t>mule deer</t>
        </is>
      </c>
      <c r="D349" s="4" t="n">
        <v>2021</v>
      </c>
      <c r="E349" s="5" t="n">
        <v>525</v>
      </c>
      <c r="F349" s="5" t="n">
        <v>3674</v>
      </c>
      <c r="G349" s="5" t="n">
        <v>113</v>
      </c>
      <c r="H349" s="10">
        <f>IF(E349&gt;0,G349/E349,"")</f>
        <v/>
      </c>
      <c r="I349" s="11">
        <f>IF(AND(F349&gt;0,G349&gt;0),F349/G349,"")</f>
        <v/>
      </c>
    </row>
    <row r="350">
      <c r="A350" s="4" t="inlineStr">
        <is>
          <t>343</t>
        </is>
      </c>
      <c r="B350" s="4" t="n">
        <v>3</v>
      </c>
      <c r="C350" s="4" t="inlineStr">
        <is>
          <t>mule deer</t>
        </is>
      </c>
      <c r="D350" s="4" t="n">
        <v>2021</v>
      </c>
      <c r="E350" s="5" t="n">
        <v>826</v>
      </c>
      <c r="F350" s="5" t="n">
        <v>5774</v>
      </c>
      <c r="G350" s="5" t="n">
        <v>107</v>
      </c>
      <c r="H350" s="10">
        <f>IF(E350&gt;0,G350/E350,"")</f>
        <v/>
      </c>
      <c r="I350" s="11">
        <f>IF(AND(F350&gt;0,G350&gt;0),F350/G350,"")</f>
        <v/>
      </c>
    </row>
    <row r="351">
      <c r="A351" s="4" t="inlineStr">
        <is>
          <t>343</t>
        </is>
      </c>
      <c r="B351" s="4" t="n">
        <v>3</v>
      </c>
      <c r="C351" s="4" t="inlineStr">
        <is>
          <t>mule deer</t>
        </is>
      </c>
      <c r="D351" s="4" t="n">
        <v>2022</v>
      </c>
      <c r="E351" s="5" t="n"/>
      <c r="F351" s="5" t="n"/>
      <c r="G351" s="5" t="n">
        <v>104</v>
      </c>
      <c r="H351" s="10">
        <f>IF(E351&gt;0,G351/E351,"")</f>
        <v/>
      </c>
      <c r="I351" s="11">
        <f>IF(AND(F351&gt;0,G351&gt;0),F351/G351,"")</f>
        <v/>
      </c>
    </row>
    <row r="352">
      <c r="A352" s="4" t="inlineStr">
        <is>
          <t>343</t>
        </is>
      </c>
      <c r="B352" s="4" t="n">
        <v>3</v>
      </c>
      <c r="C352" s="4" t="inlineStr">
        <is>
          <t>mule deer</t>
        </is>
      </c>
      <c r="D352" s="4" t="n">
        <v>2023</v>
      </c>
      <c r="E352" s="5" t="n">
        <v>949</v>
      </c>
      <c r="F352" s="5" t="n">
        <v>6944</v>
      </c>
      <c r="G352" s="5" t="n">
        <v>172</v>
      </c>
      <c r="H352" s="10">
        <f>IF(E352&gt;0,G352/E352,"")</f>
        <v/>
      </c>
      <c r="I352" s="11">
        <f>IF(AND(F352&gt;0,G352&gt;0),F352/G352,"")</f>
        <v/>
      </c>
    </row>
    <row r="353">
      <c r="A353" s="4" t="inlineStr">
        <is>
          <t>343</t>
        </is>
      </c>
      <c r="B353" s="4" t="n">
        <v>3</v>
      </c>
      <c r="C353" s="4" t="inlineStr">
        <is>
          <t>mule deer</t>
        </is>
      </c>
      <c r="D353" s="4" t="n">
        <v>2024</v>
      </c>
      <c r="E353" s="5" t="n"/>
      <c r="F353" s="5" t="n"/>
      <c r="G353" s="5" t="n">
        <v>201</v>
      </c>
      <c r="H353" s="10">
        <f>IF(E353&gt;0,G353/E353,"")</f>
        <v/>
      </c>
      <c r="I353" s="11">
        <f>IF(AND(F353&gt;0,G353&gt;0),F353/G353,"")</f>
        <v/>
      </c>
    </row>
    <row r="354">
      <c r="A354" s="4" t="inlineStr">
        <is>
          <t>343</t>
        </is>
      </c>
      <c r="B354" s="4" t="n">
        <v>3</v>
      </c>
      <c r="C354" s="4" t="inlineStr">
        <is>
          <t>mule deer</t>
        </is>
      </c>
      <c r="D354" s="4" t="n">
        <v>2025</v>
      </c>
      <c r="E354" s="5" t="n">
        <v>1112</v>
      </c>
      <c r="F354" s="5" t="n">
        <v>7733</v>
      </c>
      <c r="G354" s="5" t="n">
        <v>190</v>
      </c>
      <c r="H354" s="10">
        <f>IF(E354&gt;0,G354/E354,"")</f>
        <v/>
      </c>
      <c r="I354" s="11">
        <f>IF(AND(F354&gt;0,G354&gt;0),F354/G354,"")</f>
        <v/>
      </c>
    </row>
    <row r="355">
      <c r="A355" s="4" t="inlineStr">
        <is>
          <t>350</t>
        </is>
      </c>
      <c r="B355" s="4" t="n">
        <v>3</v>
      </c>
      <c r="C355" s="4" t="inlineStr">
        <is>
          <t>mule deer</t>
        </is>
      </c>
      <c r="D355" s="4" t="n">
        <v>2021</v>
      </c>
      <c r="E355" s="5" t="n">
        <v>586</v>
      </c>
      <c r="F355" s="5" t="n">
        <v>4076</v>
      </c>
      <c r="G355" s="5" t="n">
        <v>56</v>
      </c>
      <c r="H355" s="10">
        <f>IF(E355&gt;0,G355/E355,"")</f>
        <v/>
      </c>
      <c r="I355" s="11">
        <f>IF(AND(F355&gt;0,G355&gt;0),F355/G355,"")</f>
        <v/>
      </c>
    </row>
    <row r="356">
      <c r="A356" s="4" t="inlineStr">
        <is>
          <t>350</t>
        </is>
      </c>
      <c r="B356" s="4" t="n">
        <v>3</v>
      </c>
      <c r="C356" s="4" t="inlineStr">
        <is>
          <t>mule deer</t>
        </is>
      </c>
      <c r="D356" s="4" t="n">
        <v>2022</v>
      </c>
      <c r="E356" s="5" t="n"/>
      <c r="F356" s="5" t="n"/>
      <c r="G356" s="5" t="n">
        <v>122</v>
      </c>
      <c r="H356" s="10">
        <f>IF(E356&gt;0,G356/E356,"")</f>
        <v/>
      </c>
      <c r="I356" s="11">
        <f>IF(AND(F356&gt;0,G356&gt;0),F356/G356,"")</f>
        <v/>
      </c>
    </row>
    <row r="357">
      <c r="A357" s="4" t="inlineStr">
        <is>
          <t>350</t>
        </is>
      </c>
      <c r="B357" s="4" t="n">
        <v>3</v>
      </c>
      <c r="C357" s="4" t="inlineStr">
        <is>
          <t>mule deer</t>
        </is>
      </c>
      <c r="D357" s="4" t="n">
        <v>2023</v>
      </c>
      <c r="E357" s="5" t="n">
        <v>717</v>
      </c>
      <c r="F357" s="5" t="n">
        <v>5179</v>
      </c>
      <c r="G357" s="5" t="n">
        <v>111</v>
      </c>
      <c r="H357" s="10">
        <f>IF(E357&gt;0,G357/E357,"")</f>
        <v/>
      </c>
      <c r="I357" s="11">
        <f>IF(AND(F357&gt;0,G357&gt;0),F357/G357,"")</f>
        <v/>
      </c>
    </row>
    <row r="358">
      <c r="A358" s="4" t="inlineStr">
        <is>
          <t>350</t>
        </is>
      </c>
      <c r="B358" s="4" t="n">
        <v>3</v>
      </c>
      <c r="C358" s="4" t="inlineStr">
        <is>
          <t>mule deer</t>
        </is>
      </c>
      <c r="D358" s="4" t="n">
        <v>2024</v>
      </c>
      <c r="E358" s="5" t="n"/>
      <c r="F358" s="5" t="n"/>
      <c r="G358" s="5" t="n">
        <v>125</v>
      </c>
      <c r="H358" s="10">
        <f>IF(E358&gt;0,G358/E358,"")</f>
        <v/>
      </c>
      <c r="I358" s="11">
        <f>IF(AND(F358&gt;0,G358&gt;0),F358/G358,"")</f>
        <v/>
      </c>
    </row>
    <row r="359">
      <c r="A359" s="4" t="inlineStr">
        <is>
          <t>350</t>
        </is>
      </c>
      <c r="B359" s="4" t="n">
        <v>3</v>
      </c>
      <c r="C359" s="4" t="inlineStr">
        <is>
          <t>mule deer</t>
        </is>
      </c>
      <c r="D359" s="4" t="n">
        <v>2025</v>
      </c>
      <c r="E359" s="5" t="n">
        <v>768</v>
      </c>
      <c r="F359" s="5" t="n">
        <v>5373</v>
      </c>
      <c r="G359" s="5" t="n">
        <v>134</v>
      </c>
      <c r="H359" s="10">
        <f>IF(E359&gt;0,G359/E359,"")</f>
        <v/>
      </c>
      <c r="I359" s="11">
        <f>IF(AND(F359&gt;0,G359&gt;0),F359/G359,"")</f>
        <v/>
      </c>
    </row>
    <row r="360">
      <c r="A360" s="4" t="inlineStr">
        <is>
          <t>360</t>
        </is>
      </c>
      <c r="B360" s="4" t="n">
        <v>3</v>
      </c>
      <c r="C360" s="4" t="inlineStr">
        <is>
          <t>mule deer</t>
        </is>
      </c>
      <c r="D360" s="4" t="n">
        <v>2021</v>
      </c>
      <c r="E360" s="5" t="n">
        <v>1139</v>
      </c>
      <c r="F360" s="5" t="n">
        <v>7573</v>
      </c>
      <c r="G360" s="5" t="n">
        <v>141</v>
      </c>
      <c r="H360" s="10">
        <f>IF(E360&gt;0,G360/E360,"")</f>
        <v/>
      </c>
      <c r="I360" s="11">
        <f>IF(AND(F360&gt;0,G360&gt;0),F360/G360,"")</f>
        <v/>
      </c>
    </row>
    <row r="361">
      <c r="A361" s="4" t="inlineStr">
        <is>
          <t>360</t>
        </is>
      </c>
      <c r="B361" s="4" t="n">
        <v>3</v>
      </c>
      <c r="C361" s="4" t="inlineStr">
        <is>
          <t>mule deer</t>
        </is>
      </c>
      <c r="D361" s="4" t="n">
        <v>2022</v>
      </c>
      <c r="E361" s="5" t="n"/>
      <c r="F361" s="5" t="n"/>
      <c r="G361" s="5" t="n">
        <v>198</v>
      </c>
      <c r="H361" s="10">
        <f>IF(E361&gt;0,G361/E361,"")</f>
        <v/>
      </c>
      <c r="I361" s="11">
        <f>IF(AND(F361&gt;0,G361&gt;0),F361/G361,"")</f>
        <v/>
      </c>
    </row>
    <row r="362">
      <c r="A362" s="4" t="inlineStr">
        <is>
          <t>360</t>
        </is>
      </c>
      <c r="B362" s="4" t="n">
        <v>3</v>
      </c>
      <c r="C362" s="4" t="inlineStr">
        <is>
          <t>mule deer</t>
        </is>
      </c>
      <c r="D362" s="4" t="n">
        <v>2023</v>
      </c>
      <c r="E362" s="5" t="n">
        <v>1484</v>
      </c>
      <c r="F362" s="5" t="n">
        <v>10206</v>
      </c>
      <c r="G362" s="5" t="n">
        <v>182</v>
      </c>
      <c r="H362" s="10">
        <f>IF(E362&gt;0,G362/E362,"")</f>
        <v/>
      </c>
      <c r="I362" s="11">
        <f>IF(AND(F362&gt;0,G362&gt;0),F362/G362,"")</f>
        <v/>
      </c>
    </row>
    <row r="363">
      <c r="A363" s="4" t="inlineStr">
        <is>
          <t>360</t>
        </is>
      </c>
      <c r="B363" s="4" t="n">
        <v>3</v>
      </c>
      <c r="C363" s="4" t="inlineStr">
        <is>
          <t>mule deer</t>
        </is>
      </c>
      <c r="D363" s="4" t="n">
        <v>2024</v>
      </c>
      <c r="E363" s="5" t="n"/>
      <c r="F363" s="5" t="n"/>
      <c r="G363" s="5" t="n">
        <v>221</v>
      </c>
      <c r="H363" s="10">
        <f>IF(E363&gt;0,G363/E363,"")</f>
        <v/>
      </c>
      <c r="I363" s="11">
        <f>IF(AND(F363&gt;0,G363&gt;0),F363/G363,"")</f>
        <v/>
      </c>
    </row>
    <row r="364">
      <c r="A364" s="4" t="inlineStr">
        <is>
          <t>360</t>
        </is>
      </c>
      <c r="B364" s="4" t="n">
        <v>3</v>
      </c>
      <c r="C364" s="4" t="inlineStr">
        <is>
          <t>mule deer</t>
        </is>
      </c>
      <c r="D364" s="4" t="n">
        <v>2025</v>
      </c>
      <c r="E364" s="5" t="n">
        <v>1637</v>
      </c>
      <c r="F364" s="5" t="n">
        <v>10661</v>
      </c>
      <c r="G364" s="5" t="n">
        <v>221</v>
      </c>
      <c r="H364" s="10">
        <f>IF(E364&gt;0,G364/E364,"")</f>
        <v/>
      </c>
      <c r="I364" s="11">
        <f>IF(AND(F364&gt;0,G364&gt;0),F364/G364,"")</f>
        <v/>
      </c>
    </row>
    <row r="365">
      <c r="A365" s="4" t="inlineStr">
        <is>
          <t>361</t>
        </is>
      </c>
      <c r="B365" s="4" t="n">
        <v>3</v>
      </c>
      <c r="C365" s="4" t="inlineStr">
        <is>
          <t>mule deer</t>
        </is>
      </c>
      <c r="D365" s="4" t="n">
        <v>2021</v>
      </c>
      <c r="E365" s="5" t="n">
        <v>231</v>
      </c>
      <c r="F365" s="5" t="n">
        <v>1740</v>
      </c>
      <c r="G365" s="5" t="n">
        <v>38</v>
      </c>
      <c r="H365" s="10">
        <f>IF(E365&gt;0,G365/E365,"")</f>
        <v/>
      </c>
      <c r="I365" s="11">
        <f>IF(AND(F365&gt;0,G365&gt;0),F365/G365,"")</f>
        <v/>
      </c>
    </row>
    <row r="366">
      <c r="A366" s="4" t="inlineStr">
        <is>
          <t>361</t>
        </is>
      </c>
      <c r="B366" s="4" t="n">
        <v>3</v>
      </c>
      <c r="C366" s="4" t="inlineStr">
        <is>
          <t>mule deer</t>
        </is>
      </c>
      <c r="D366" s="4" t="n">
        <v>2022</v>
      </c>
      <c r="E366" s="5" t="n"/>
      <c r="F366" s="5" t="n"/>
      <c r="G366" s="5" t="n">
        <v>28</v>
      </c>
      <c r="H366" s="10">
        <f>IF(E366&gt;0,G366/E366,"")</f>
        <v/>
      </c>
      <c r="I366" s="11">
        <f>IF(AND(F366&gt;0,G366&gt;0),F366/G366,"")</f>
        <v/>
      </c>
    </row>
    <row r="367">
      <c r="A367" s="4" t="inlineStr">
        <is>
          <t>361</t>
        </is>
      </c>
      <c r="B367" s="4" t="n">
        <v>3</v>
      </c>
      <c r="C367" s="4" t="inlineStr">
        <is>
          <t>mule deer</t>
        </is>
      </c>
      <c r="D367" s="4" t="n">
        <v>2023</v>
      </c>
      <c r="E367" s="5" t="n">
        <v>229</v>
      </c>
      <c r="F367" s="5" t="n">
        <v>1672</v>
      </c>
      <c r="G367" s="5" t="n">
        <v>17</v>
      </c>
      <c r="H367" s="10">
        <f>IF(E367&gt;0,G367/E367,"")</f>
        <v/>
      </c>
      <c r="I367" s="11">
        <f>IF(AND(F367&gt;0,G367&gt;0),F367/G367,"")</f>
        <v/>
      </c>
    </row>
    <row r="368">
      <c r="A368" s="4" t="inlineStr">
        <is>
          <t>361</t>
        </is>
      </c>
      <c r="B368" s="4" t="n">
        <v>3</v>
      </c>
      <c r="C368" s="4" t="inlineStr">
        <is>
          <t>mule deer</t>
        </is>
      </c>
      <c r="D368" s="4" t="n">
        <v>2024</v>
      </c>
      <c r="E368" s="5" t="n"/>
      <c r="F368" s="5" t="n"/>
      <c r="G368" s="5" t="n">
        <v>29</v>
      </c>
      <c r="H368" s="10">
        <f>IF(E368&gt;0,G368/E368,"")</f>
        <v/>
      </c>
      <c r="I368" s="11">
        <f>IF(AND(F368&gt;0,G368&gt;0),F368/G368,"")</f>
        <v/>
      </c>
    </row>
    <row r="369">
      <c r="A369" s="4" t="inlineStr">
        <is>
          <t>361</t>
        </is>
      </c>
      <c r="B369" s="4" t="n">
        <v>3</v>
      </c>
      <c r="C369" s="4" t="inlineStr">
        <is>
          <t>mule deer</t>
        </is>
      </c>
      <c r="D369" s="4" t="n">
        <v>2025</v>
      </c>
      <c r="E369" s="5" t="n">
        <v>308</v>
      </c>
      <c r="F369" s="5" t="n">
        <v>2375</v>
      </c>
      <c r="G369" s="5" t="n">
        <v>37</v>
      </c>
      <c r="H369" s="10">
        <f>IF(E369&gt;0,G369/E369,"")</f>
        <v/>
      </c>
      <c r="I369" s="11">
        <f>IF(AND(F369&gt;0,G369&gt;0),F369/G369,"")</f>
        <v/>
      </c>
    </row>
    <row r="370">
      <c r="A370" s="4" t="inlineStr">
        <is>
          <t>362</t>
        </is>
      </c>
      <c r="B370" s="4" t="n">
        <v>3</v>
      </c>
      <c r="C370" s="4" t="inlineStr">
        <is>
          <t>mule deer</t>
        </is>
      </c>
      <c r="D370" s="4" t="n">
        <v>2021</v>
      </c>
      <c r="E370" s="5" t="n">
        <v>305</v>
      </c>
      <c r="F370" s="5" t="n">
        <v>2102</v>
      </c>
      <c r="G370" s="5" t="n">
        <v>37</v>
      </c>
      <c r="H370" s="10">
        <f>IF(E370&gt;0,G370/E370,"")</f>
        <v/>
      </c>
      <c r="I370" s="11">
        <f>IF(AND(F370&gt;0,G370&gt;0),F370/G370,"")</f>
        <v/>
      </c>
    </row>
    <row r="371">
      <c r="A371" s="4" t="inlineStr">
        <is>
          <t>370</t>
        </is>
      </c>
      <c r="B371" s="4" t="n">
        <v>3</v>
      </c>
      <c r="C371" s="4" t="inlineStr">
        <is>
          <t>mule deer</t>
        </is>
      </c>
      <c r="D371" s="4" t="n">
        <v>2021</v>
      </c>
      <c r="E371" s="5" t="n">
        <v>490</v>
      </c>
      <c r="F371" s="5" t="n">
        <v>2880</v>
      </c>
      <c r="G371" s="5" t="n">
        <v>38</v>
      </c>
      <c r="H371" s="10">
        <f>IF(E371&gt;0,G371/E371,"")</f>
        <v/>
      </c>
      <c r="I371" s="11">
        <f>IF(AND(F371&gt;0,G371&gt;0),F371/G371,"")</f>
        <v/>
      </c>
    </row>
    <row r="372">
      <c r="A372" s="4" t="inlineStr">
        <is>
          <t>370</t>
        </is>
      </c>
      <c r="B372" s="4" t="n">
        <v>3</v>
      </c>
      <c r="C372" s="4" t="inlineStr">
        <is>
          <t>mule deer</t>
        </is>
      </c>
      <c r="D372" s="4" t="n">
        <v>2022</v>
      </c>
      <c r="E372" s="5" t="n"/>
      <c r="F372" s="5" t="n"/>
      <c r="G372" s="5" t="n">
        <v>49</v>
      </c>
      <c r="H372" s="10">
        <f>IF(E372&gt;0,G372/E372,"")</f>
        <v/>
      </c>
      <c r="I372" s="11">
        <f>IF(AND(F372&gt;0,G372&gt;0),F372/G372,"")</f>
        <v/>
      </c>
    </row>
    <row r="373">
      <c r="A373" s="4" t="inlineStr">
        <is>
          <t>370</t>
        </is>
      </c>
      <c r="B373" s="4" t="n">
        <v>3</v>
      </c>
      <c r="C373" s="4" t="inlineStr">
        <is>
          <t>mule deer</t>
        </is>
      </c>
      <c r="D373" s="4" t="n">
        <v>2023</v>
      </c>
      <c r="E373" s="5" t="n">
        <v>572</v>
      </c>
      <c r="F373" s="5" t="n">
        <v>3536</v>
      </c>
      <c r="G373" s="5" t="n">
        <v>78</v>
      </c>
      <c r="H373" s="10">
        <f>IF(E373&gt;0,G373/E373,"")</f>
        <v/>
      </c>
      <c r="I373" s="11">
        <f>IF(AND(F373&gt;0,G373&gt;0),F373/G373,"")</f>
        <v/>
      </c>
    </row>
    <row r="374">
      <c r="A374" s="4" t="inlineStr">
        <is>
          <t>370</t>
        </is>
      </c>
      <c r="B374" s="4" t="n">
        <v>3</v>
      </c>
      <c r="C374" s="4" t="inlineStr">
        <is>
          <t>mule deer</t>
        </is>
      </c>
      <c r="D374" s="4" t="n">
        <v>2024</v>
      </c>
      <c r="E374" s="5" t="n"/>
      <c r="F374" s="5" t="n"/>
      <c r="G374" s="5" t="n">
        <v>81</v>
      </c>
      <c r="H374" s="10">
        <f>IF(E374&gt;0,G374/E374,"")</f>
        <v/>
      </c>
      <c r="I374" s="11">
        <f>IF(AND(F374&gt;0,G374&gt;0),F374/G374,"")</f>
        <v/>
      </c>
    </row>
    <row r="375">
      <c r="A375" s="4" t="inlineStr">
        <is>
          <t>370</t>
        </is>
      </c>
      <c r="B375" s="4" t="n">
        <v>3</v>
      </c>
      <c r="C375" s="4" t="inlineStr">
        <is>
          <t>mule deer</t>
        </is>
      </c>
      <c r="D375" s="4" t="n">
        <v>2025</v>
      </c>
      <c r="E375" s="5" t="n">
        <v>515</v>
      </c>
      <c r="F375" s="5" t="n">
        <v>3111</v>
      </c>
      <c r="G375" s="5" t="n">
        <v>58</v>
      </c>
      <c r="H375" s="10">
        <f>IF(E375&gt;0,G375/E375,"")</f>
        <v/>
      </c>
      <c r="I375" s="11">
        <f>IF(AND(F375&gt;0,G375&gt;0),F375/G375,"")</f>
        <v/>
      </c>
    </row>
    <row r="376">
      <c r="A376" s="4" t="inlineStr">
        <is>
          <t>380</t>
        </is>
      </c>
      <c r="B376" s="4" t="n">
        <v>3</v>
      </c>
      <c r="C376" s="4" t="inlineStr">
        <is>
          <t>mule deer</t>
        </is>
      </c>
      <c r="D376" s="4" t="n">
        <v>2021</v>
      </c>
      <c r="E376" s="5" t="n">
        <v>1817</v>
      </c>
      <c r="F376" s="5" t="n">
        <v>12115</v>
      </c>
      <c r="G376" s="5" t="n">
        <v>383</v>
      </c>
      <c r="H376" s="10">
        <f>IF(E376&gt;0,G376/E376,"")</f>
        <v/>
      </c>
      <c r="I376" s="11">
        <f>IF(AND(F376&gt;0,G376&gt;0),F376/G376,"")</f>
        <v/>
      </c>
    </row>
    <row r="377">
      <c r="A377" s="4" t="inlineStr">
        <is>
          <t>380</t>
        </is>
      </c>
      <c r="B377" s="4" t="n">
        <v>3</v>
      </c>
      <c r="C377" s="4" t="inlineStr">
        <is>
          <t>mule deer</t>
        </is>
      </c>
      <c r="D377" s="4" t="n">
        <v>2022</v>
      </c>
      <c r="E377" s="5" t="n"/>
      <c r="F377" s="5" t="n"/>
      <c r="G377" s="5" t="n">
        <v>325</v>
      </c>
      <c r="H377" s="10">
        <f>IF(E377&gt;0,G377/E377,"")</f>
        <v/>
      </c>
      <c r="I377" s="11">
        <f>IF(AND(F377&gt;0,G377&gt;0),F377/G377,"")</f>
        <v/>
      </c>
    </row>
    <row r="378">
      <c r="A378" s="4" t="inlineStr">
        <is>
          <t>380</t>
        </is>
      </c>
      <c r="B378" s="4" t="n">
        <v>3</v>
      </c>
      <c r="C378" s="4" t="inlineStr">
        <is>
          <t>mule deer</t>
        </is>
      </c>
      <c r="D378" s="4" t="n">
        <v>2023</v>
      </c>
      <c r="E378" s="5" t="n">
        <v>1770</v>
      </c>
      <c r="F378" s="5" t="n">
        <v>12249</v>
      </c>
      <c r="G378" s="5" t="n">
        <v>337</v>
      </c>
      <c r="H378" s="10">
        <f>IF(E378&gt;0,G378/E378,"")</f>
        <v/>
      </c>
      <c r="I378" s="11">
        <f>IF(AND(F378&gt;0,G378&gt;0),F378/G378,"")</f>
        <v/>
      </c>
    </row>
    <row r="379">
      <c r="A379" s="4" t="inlineStr">
        <is>
          <t>380</t>
        </is>
      </c>
      <c r="B379" s="4" t="n">
        <v>3</v>
      </c>
      <c r="C379" s="4" t="inlineStr">
        <is>
          <t>mule deer</t>
        </is>
      </c>
      <c r="D379" s="4" t="n">
        <v>2024</v>
      </c>
      <c r="E379" s="5" t="n"/>
      <c r="F379" s="5" t="n"/>
      <c r="G379" s="5" t="n">
        <v>371</v>
      </c>
      <c r="H379" s="10">
        <f>IF(E379&gt;0,G379/E379,"")</f>
        <v/>
      </c>
      <c r="I379" s="11">
        <f>IF(AND(F379&gt;0,G379&gt;0),F379/G379,"")</f>
        <v/>
      </c>
    </row>
    <row r="380">
      <c r="A380" s="4" t="inlineStr">
        <is>
          <t>380</t>
        </is>
      </c>
      <c r="B380" s="4" t="n">
        <v>3</v>
      </c>
      <c r="C380" s="4" t="inlineStr">
        <is>
          <t>mule deer</t>
        </is>
      </c>
      <c r="D380" s="4" t="n">
        <v>2025</v>
      </c>
      <c r="E380" s="5" t="n">
        <v>1915</v>
      </c>
      <c r="F380" s="5" t="n">
        <v>12062</v>
      </c>
      <c r="G380" s="5" t="n">
        <v>357</v>
      </c>
      <c r="H380" s="10">
        <f>IF(E380&gt;0,G380/E380,"")</f>
        <v/>
      </c>
      <c r="I380" s="11">
        <f>IF(AND(F380&gt;0,G380&gt;0),F380/G380,"")</f>
        <v/>
      </c>
    </row>
    <row r="381">
      <c r="A381" s="4" t="inlineStr">
        <is>
          <t>388</t>
        </is>
      </c>
      <c r="B381" s="4" t="n">
        <v>3</v>
      </c>
      <c r="C381" s="4" t="inlineStr">
        <is>
          <t>mule deer</t>
        </is>
      </c>
      <c r="D381" s="4" t="n">
        <v>2021</v>
      </c>
      <c r="E381" s="5" t="n">
        <v>431</v>
      </c>
      <c r="F381" s="5" t="n">
        <v>2635</v>
      </c>
      <c r="G381" s="5" t="n">
        <v>79</v>
      </c>
      <c r="H381" s="10">
        <f>IF(E381&gt;0,G381/E381,"")</f>
        <v/>
      </c>
      <c r="I381" s="11">
        <f>IF(AND(F381&gt;0,G381&gt;0),F381/G381,"")</f>
        <v/>
      </c>
    </row>
    <row r="382">
      <c r="A382" s="4" t="inlineStr">
        <is>
          <t>388</t>
        </is>
      </c>
      <c r="B382" s="4" t="n">
        <v>3</v>
      </c>
      <c r="C382" s="4" t="inlineStr">
        <is>
          <t>mule deer</t>
        </is>
      </c>
      <c r="D382" s="4" t="n">
        <v>2022</v>
      </c>
      <c r="E382" s="5" t="n"/>
      <c r="F382" s="5" t="n"/>
      <c r="G382" s="5" t="n">
        <v>97</v>
      </c>
      <c r="H382" s="10">
        <f>IF(E382&gt;0,G382/E382,"")</f>
        <v/>
      </c>
      <c r="I382" s="11">
        <f>IF(AND(F382&gt;0,G382&gt;0),F382/G382,"")</f>
        <v/>
      </c>
    </row>
    <row r="383">
      <c r="A383" s="4" t="inlineStr">
        <is>
          <t>388</t>
        </is>
      </c>
      <c r="B383" s="4" t="n">
        <v>3</v>
      </c>
      <c r="C383" s="4" t="inlineStr">
        <is>
          <t>mule deer</t>
        </is>
      </c>
      <c r="D383" s="4" t="n">
        <v>2023</v>
      </c>
      <c r="E383" s="5" t="n">
        <v>562</v>
      </c>
      <c r="F383" s="5" t="n">
        <v>3479</v>
      </c>
      <c r="G383" s="5" t="n">
        <v>117</v>
      </c>
      <c r="H383" s="10">
        <f>IF(E383&gt;0,G383/E383,"")</f>
        <v/>
      </c>
      <c r="I383" s="11">
        <f>IF(AND(F383&gt;0,G383&gt;0),F383/G383,"")</f>
        <v/>
      </c>
    </row>
    <row r="384">
      <c r="A384" s="4" t="inlineStr">
        <is>
          <t>388</t>
        </is>
      </c>
      <c r="B384" s="4" t="n">
        <v>3</v>
      </c>
      <c r="C384" s="4" t="inlineStr">
        <is>
          <t>mule deer</t>
        </is>
      </c>
      <c r="D384" s="4" t="n">
        <v>2024</v>
      </c>
      <c r="E384" s="5" t="n"/>
      <c r="F384" s="5" t="n"/>
      <c r="G384" s="5" t="n">
        <v>161</v>
      </c>
      <c r="H384" s="10">
        <f>IF(E384&gt;0,G384/E384,"")</f>
        <v/>
      </c>
      <c r="I384" s="11">
        <f>IF(AND(F384&gt;0,G384&gt;0),F384/G384,"")</f>
        <v/>
      </c>
    </row>
    <row r="385">
      <c r="A385" s="4" t="inlineStr">
        <is>
          <t>388</t>
        </is>
      </c>
      <c r="B385" s="4" t="n">
        <v>3</v>
      </c>
      <c r="C385" s="4" t="inlineStr">
        <is>
          <t>mule deer</t>
        </is>
      </c>
      <c r="D385" s="4" t="n">
        <v>2025</v>
      </c>
      <c r="E385" s="5" t="n">
        <v>518</v>
      </c>
      <c r="F385" s="5" t="n">
        <v>3176</v>
      </c>
      <c r="G385" s="5" t="n">
        <v>88</v>
      </c>
      <c r="H385" s="10">
        <f>IF(E385&gt;0,G385/E385,"")</f>
        <v/>
      </c>
      <c r="I385" s="11">
        <f>IF(AND(F385&gt;0,G385&gt;0),F385/G385,"")</f>
        <v/>
      </c>
    </row>
    <row r="386">
      <c r="A386" s="4" t="inlineStr">
        <is>
          <t>390</t>
        </is>
      </c>
      <c r="B386" s="4" t="n">
        <v>3</v>
      </c>
      <c r="C386" s="4" t="inlineStr">
        <is>
          <t>mule deer</t>
        </is>
      </c>
      <c r="D386" s="4" t="n">
        <v>2021</v>
      </c>
      <c r="E386" s="5" t="n">
        <v>584</v>
      </c>
      <c r="F386" s="5" t="n">
        <v>3853</v>
      </c>
      <c r="G386" s="5" t="n">
        <v>150</v>
      </c>
      <c r="H386" s="10">
        <f>IF(E386&gt;0,G386/E386,"")</f>
        <v/>
      </c>
      <c r="I386" s="11">
        <f>IF(AND(F386&gt;0,G386&gt;0),F386/G386,"")</f>
        <v/>
      </c>
    </row>
    <row r="387">
      <c r="A387" s="4" t="inlineStr">
        <is>
          <t>390</t>
        </is>
      </c>
      <c r="B387" s="4" t="n">
        <v>3</v>
      </c>
      <c r="C387" s="4" t="inlineStr">
        <is>
          <t>mule deer</t>
        </is>
      </c>
      <c r="D387" s="4" t="n">
        <v>2022</v>
      </c>
      <c r="E387" s="5" t="n"/>
      <c r="F387" s="5" t="n"/>
      <c r="G387" s="5" t="n">
        <v>150</v>
      </c>
      <c r="H387" s="10">
        <f>IF(E387&gt;0,G387/E387,"")</f>
        <v/>
      </c>
      <c r="I387" s="11">
        <f>IF(AND(F387&gt;0,G387&gt;0),F387/G387,"")</f>
        <v/>
      </c>
    </row>
    <row r="388">
      <c r="A388" s="4" t="inlineStr">
        <is>
          <t>390</t>
        </is>
      </c>
      <c r="B388" s="4" t="n">
        <v>3</v>
      </c>
      <c r="C388" s="4" t="inlineStr">
        <is>
          <t>mule deer</t>
        </is>
      </c>
      <c r="D388" s="4" t="n">
        <v>2023</v>
      </c>
      <c r="E388" s="5" t="n">
        <v>666</v>
      </c>
      <c r="F388" s="5" t="n">
        <v>4513</v>
      </c>
      <c r="G388" s="5" t="n">
        <v>150</v>
      </c>
      <c r="H388" s="10">
        <f>IF(E388&gt;0,G388/E388,"")</f>
        <v/>
      </c>
      <c r="I388" s="11">
        <f>IF(AND(F388&gt;0,G388&gt;0),F388/G388,"")</f>
        <v/>
      </c>
    </row>
    <row r="389">
      <c r="A389" s="4" t="inlineStr">
        <is>
          <t>390</t>
        </is>
      </c>
      <c r="B389" s="4" t="n">
        <v>3</v>
      </c>
      <c r="C389" s="4" t="inlineStr">
        <is>
          <t>mule deer</t>
        </is>
      </c>
      <c r="D389" s="4" t="n">
        <v>2024</v>
      </c>
      <c r="E389" s="5" t="n"/>
      <c r="F389" s="5" t="n"/>
      <c r="G389" s="5" t="n">
        <v>147</v>
      </c>
      <c r="H389" s="10">
        <f>IF(E389&gt;0,G389/E389,"")</f>
        <v/>
      </c>
      <c r="I389" s="11">
        <f>IF(AND(F389&gt;0,G389&gt;0),F389/G389,"")</f>
        <v/>
      </c>
    </row>
    <row r="390">
      <c r="A390" s="4" t="inlineStr">
        <is>
          <t>390</t>
        </is>
      </c>
      <c r="B390" s="4" t="n">
        <v>3</v>
      </c>
      <c r="C390" s="4" t="inlineStr">
        <is>
          <t>mule deer</t>
        </is>
      </c>
      <c r="D390" s="4" t="n">
        <v>2025</v>
      </c>
      <c r="E390" s="5" t="n">
        <v>715</v>
      </c>
      <c r="F390" s="5" t="n">
        <v>4935</v>
      </c>
      <c r="G390" s="5" t="n">
        <v>162</v>
      </c>
      <c r="H390" s="10">
        <f>IF(E390&gt;0,G390/E390,"")</f>
        <v/>
      </c>
      <c r="I390" s="11">
        <f>IF(AND(F390&gt;0,G390&gt;0),F390/G390,"")</f>
        <v/>
      </c>
    </row>
    <row r="391">
      <c r="A391" s="4" t="inlineStr">
        <is>
          <t>391</t>
        </is>
      </c>
      <c r="B391" s="4" t="n">
        <v>3</v>
      </c>
      <c r="C391" s="4" t="inlineStr">
        <is>
          <t>mule deer</t>
        </is>
      </c>
      <c r="D391" s="4" t="n">
        <v>2021</v>
      </c>
      <c r="E391" s="5" t="n">
        <v>1595</v>
      </c>
      <c r="F391" s="5" t="n">
        <v>11068</v>
      </c>
      <c r="G391" s="5" t="n">
        <v>399</v>
      </c>
      <c r="H391" s="10">
        <f>IF(E391&gt;0,G391/E391,"")</f>
        <v/>
      </c>
      <c r="I391" s="11">
        <f>IF(AND(F391&gt;0,G391&gt;0),F391/G391,"")</f>
        <v/>
      </c>
    </row>
    <row r="392">
      <c r="A392" s="4" t="inlineStr">
        <is>
          <t>391</t>
        </is>
      </c>
      <c r="B392" s="4" t="n">
        <v>3</v>
      </c>
      <c r="C392" s="4" t="inlineStr">
        <is>
          <t>mule deer</t>
        </is>
      </c>
      <c r="D392" s="4" t="n">
        <v>2022</v>
      </c>
      <c r="E392" s="5" t="n"/>
      <c r="F392" s="5" t="n"/>
      <c r="G392" s="5" t="n">
        <v>365</v>
      </c>
      <c r="H392" s="10">
        <f>IF(E392&gt;0,G392/E392,"")</f>
        <v/>
      </c>
      <c r="I392" s="11">
        <f>IF(AND(F392&gt;0,G392&gt;0),F392/G392,"")</f>
        <v/>
      </c>
    </row>
    <row r="393">
      <c r="A393" s="4" t="inlineStr">
        <is>
          <t>391</t>
        </is>
      </c>
      <c r="B393" s="4" t="n">
        <v>3</v>
      </c>
      <c r="C393" s="4" t="inlineStr">
        <is>
          <t>mule deer</t>
        </is>
      </c>
      <c r="D393" s="4" t="n">
        <v>2023</v>
      </c>
      <c r="E393" s="5" t="n">
        <v>1809</v>
      </c>
      <c r="F393" s="5" t="n">
        <v>12961</v>
      </c>
      <c r="G393" s="5" t="n">
        <v>384</v>
      </c>
      <c r="H393" s="10">
        <f>IF(E393&gt;0,G393/E393,"")</f>
        <v/>
      </c>
      <c r="I393" s="11">
        <f>IF(AND(F393&gt;0,G393&gt;0),F393/G393,"")</f>
        <v/>
      </c>
    </row>
    <row r="394">
      <c r="A394" s="4" t="inlineStr">
        <is>
          <t>391</t>
        </is>
      </c>
      <c r="B394" s="4" t="n">
        <v>3</v>
      </c>
      <c r="C394" s="4" t="inlineStr">
        <is>
          <t>mule deer</t>
        </is>
      </c>
      <c r="D394" s="4" t="n">
        <v>2024</v>
      </c>
      <c r="E394" s="5" t="n"/>
      <c r="F394" s="5" t="n"/>
      <c r="G394" s="5" t="n">
        <v>432</v>
      </c>
      <c r="H394" s="10">
        <f>IF(E394&gt;0,G394/E394,"")</f>
        <v/>
      </c>
      <c r="I394" s="11">
        <f>IF(AND(F394&gt;0,G394&gt;0),F394/G394,"")</f>
        <v/>
      </c>
    </row>
    <row r="395">
      <c r="A395" s="4" t="inlineStr">
        <is>
          <t>391</t>
        </is>
      </c>
      <c r="B395" s="4" t="n">
        <v>3</v>
      </c>
      <c r="C395" s="4" t="inlineStr">
        <is>
          <t>mule deer</t>
        </is>
      </c>
      <c r="D395" s="4" t="n">
        <v>2025</v>
      </c>
      <c r="E395" s="5" t="n">
        <v>1880</v>
      </c>
      <c r="F395" s="5" t="n">
        <v>13605</v>
      </c>
      <c r="G395" s="5" t="n">
        <v>447</v>
      </c>
      <c r="H395" s="10">
        <f>IF(E395&gt;0,G395/E395,"")</f>
        <v/>
      </c>
      <c r="I395" s="11">
        <f>IF(AND(F395&gt;0,G395&gt;0),F395/G395,"")</f>
        <v/>
      </c>
    </row>
    <row r="396">
      <c r="A396" s="4" t="inlineStr">
        <is>
          <t>392</t>
        </is>
      </c>
      <c r="B396" s="4" t="n">
        <v>3</v>
      </c>
      <c r="C396" s="4" t="inlineStr">
        <is>
          <t>mule deer</t>
        </is>
      </c>
      <c r="D396" s="4" t="n">
        <v>2021</v>
      </c>
      <c r="E396" s="5" t="n">
        <v>518</v>
      </c>
      <c r="F396" s="5" t="n">
        <v>3500</v>
      </c>
      <c r="G396" s="5" t="n">
        <v>207</v>
      </c>
      <c r="H396" s="10">
        <f>IF(E396&gt;0,G396/E396,"")</f>
        <v/>
      </c>
      <c r="I396" s="11">
        <f>IF(AND(F396&gt;0,G396&gt;0),F396/G396,"")</f>
        <v/>
      </c>
    </row>
    <row r="397">
      <c r="A397" s="4" t="inlineStr">
        <is>
          <t>392</t>
        </is>
      </c>
      <c r="B397" s="4" t="n">
        <v>3</v>
      </c>
      <c r="C397" s="4" t="inlineStr">
        <is>
          <t>mule deer</t>
        </is>
      </c>
      <c r="D397" s="4" t="n">
        <v>2022</v>
      </c>
      <c r="E397" s="5" t="n"/>
      <c r="F397" s="5" t="n"/>
      <c r="G397" s="5" t="n">
        <v>235</v>
      </c>
      <c r="H397" s="10">
        <f>IF(E397&gt;0,G397/E397,"")</f>
        <v/>
      </c>
      <c r="I397" s="11">
        <f>IF(AND(F397&gt;0,G397&gt;0),F397/G397,"")</f>
        <v/>
      </c>
    </row>
    <row r="398">
      <c r="A398" s="4" t="inlineStr">
        <is>
          <t>392</t>
        </is>
      </c>
      <c r="B398" s="4" t="n">
        <v>3</v>
      </c>
      <c r="C398" s="4" t="inlineStr">
        <is>
          <t>mule deer</t>
        </is>
      </c>
      <c r="D398" s="4" t="n">
        <v>2023</v>
      </c>
      <c r="E398" s="5" t="n">
        <v>649</v>
      </c>
      <c r="F398" s="5" t="n">
        <v>4216</v>
      </c>
      <c r="G398" s="5" t="n">
        <v>233</v>
      </c>
      <c r="H398" s="10">
        <f>IF(E398&gt;0,G398/E398,"")</f>
        <v/>
      </c>
      <c r="I398" s="11">
        <f>IF(AND(F398&gt;0,G398&gt;0),F398/G398,"")</f>
        <v/>
      </c>
    </row>
    <row r="399">
      <c r="A399" s="4" t="inlineStr">
        <is>
          <t>392</t>
        </is>
      </c>
      <c r="B399" s="4" t="n">
        <v>3</v>
      </c>
      <c r="C399" s="4" t="inlineStr">
        <is>
          <t>mule deer</t>
        </is>
      </c>
      <c r="D399" s="4" t="n">
        <v>2024</v>
      </c>
      <c r="E399" s="5" t="n"/>
      <c r="F399" s="5" t="n"/>
      <c r="G399" s="5" t="n">
        <v>211</v>
      </c>
      <c r="H399" s="10">
        <f>IF(E399&gt;0,G399/E399,"")</f>
        <v/>
      </c>
      <c r="I399" s="11">
        <f>IF(AND(F399&gt;0,G399&gt;0),F399/G399,"")</f>
        <v/>
      </c>
    </row>
    <row r="400">
      <c r="A400" s="4" t="inlineStr">
        <is>
          <t>392</t>
        </is>
      </c>
      <c r="B400" s="4" t="n">
        <v>3</v>
      </c>
      <c r="C400" s="4" t="inlineStr">
        <is>
          <t>mule deer</t>
        </is>
      </c>
      <c r="D400" s="4" t="n">
        <v>2025</v>
      </c>
      <c r="E400" s="5" t="n">
        <v>691</v>
      </c>
      <c r="F400" s="5" t="n">
        <v>5085</v>
      </c>
      <c r="G400" s="5" t="n">
        <v>327</v>
      </c>
      <c r="H400" s="10">
        <f>IF(E400&gt;0,G400/E400,"")</f>
        <v/>
      </c>
      <c r="I400" s="11">
        <f>IF(AND(F400&gt;0,G400&gt;0),F400/G400,"")</f>
        <v/>
      </c>
    </row>
    <row r="401">
      <c r="A401" s="4" t="inlineStr">
        <is>
          <t>393</t>
        </is>
      </c>
      <c r="B401" s="4" t="n">
        <v>3</v>
      </c>
      <c r="C401" s="4" t="inlineStr">
        <is>
          <t>mule deer</t>
        </is>
      </c>
      <c r="D401" s="4" t="n">
        <v>2021</v>
      </c>
      <c r="E401" s="5" t="n">
        <v>1405</v>
      </c>
      <c r="F401" s="5" t="n">
        <v>9290</v>
      </c>
      <c r="G401" s="5" t="n">
        <v>354</v>
      </c>
      <c r="H401" s="10">
        <f>IF(E401&gt;0,G401/E401,"")</f>
        <v/>
      </c>
      <c r="I401" s="11">
        <f>IF(AND(F401&gt;0,G401&gt;0),F401/G401,"")</f>
        <v/>
      </c>
    </row>
    <row r="402">
      <c r="A402" s="4" t="inlineStr">
        <is>
          <t>393</t>
        </is>
      </c>
      <c r="B402" s="4" t="n">
        <v>3</v>
      </c>
      <c r="C402" s="4" t="inlineStr">
        <is>
          <t>mule deer</t>
        </is>
      </c>
      <c r="D402" s="4" t="n">
        <v>2022</v>
      </c>
      <c r="E402" s="5" t="n"/>
      <c r="F402" s="5" t="n"/>
      <c r="G402" s="5" t="n">
        <v>332</v>
      </c>
      <c r="H402" s="10">
        <f>IF(E402&gt;0,G402/E402,"")</f>
        <v/>
      </c>
      <c r="I402" s="11">
        <f>IF(AND(F402&gt;0,G402&gt;0),F402/G402,"")</f>
        <v/>
      </c>
    </row>
    <row r="403">
      <c r="A403" s="4" t="inlineStr">
        <is>
          <t>393</t>
        </is>
      </c>
      <c r="B403" s="4" t="n">
        <v>3</v>
      </c>
      <c r="C403" s="4" t="inlineStr">
        <is>
          <t>mule deer</t>
        </is>
      </c>
      <c r="D403" s="4" t="n">
        <v>2023</v>
      </c>
      <c r="E403" s="5" t="n">
        <v>1548</v>
      </c>
      <c r="F403" s="5" t="n">
        <v>9702</v>
      </c>
      <c r="G403" s="5" t="n">
        <v>375</v>
      </c>
      <c r="H403" s="10">
        <f>IF(E403&gt;0,G403/E403,"")</f>
        <v/>
      </c>
      <c r="I403" s="11">
        <f>IF(AND(F403&gt;0,G403&gt;0),F403/G403,"")</f>
        <v/>
      </c>
    </row>
    <row r="404">
      <c r="A404" s="4" t="inlineStr">
        <is>
          <t>393</t>
        </is>
      </c>
      <c r="B404" s="4" t="n">
        <v>3</v>
      </c>
      <c r="C404" s="4" t="inlineStr">
        <is>
          <t>mule deer</t>
        </is>
      </c>
      <c r="D404" s="4" t="n">
        <v>2024</v>
      </c>
      <c r="E404" s="5" t="n"/>
      <c r="F404" s="5" t="n"/>
      <c r="G404" s="5" t="n">
        <v>345</v>
      </c>
      <c r="H404" s="10">
        <f>IF(E404&gt;0,G404/E404,"")</f>
        <v/>
      </c>
      <c r="I404" s="11">
        <f>IF(AND(F404&gt;0,G404&gt;0),F404/G404,"")</f>
        <v/>
      </c>
    </row>
    <row r="405">
      <c r="A405" s="4" t="inlineStr">
        <is>
          <t>393</t>
        </is>
      </c>
      <c r="B405" s="4" t="n">
        <v>3</v>
      </c>
      <c r="C405" s="4" t="inlineStr">
        <is>
          <t>mule deer</t>
        </is>
      </c>
      <c r="D405" s="4" t="n">
        <v>2025</v>
      </c>
      <c r="E405" s="5" t="n">
        <v>1671</v>
      </c>
      <c r="F405" s="5" t="n">
        <v>9555</v>
      </c>
      <c r="G405" s="5" t="n">
        <v>353</v>
      </c>
      <c r="H405" s="10">
        <f>IF(E405&gt;0,G405/E405,"")</f>
        <v/>
      </c>
      <c r="I405" s="11">
        <f>IF(AND(F405&gt;0,G405&gt;0),F405/G405,"")</f>
        <v/>
      </c>
    </row>
    <row r="406">
      <c r="A406" s="4" t="inlineStr">
        <is>
          <t>400</t>
        </is>
      </c>
      <c r="B406" s="4" t="n">
        <v>4</v>
      </c>
      <c r="C406" s="4" t="inlineStr">
        <is>
          <t>mule deer</t>
        </is>
      </c>
      <c r="D406" s="4" t="n">
        <v>2021</v>
      </c>
      <c r="E406" s="5" t="n">
        <v>1769</v>
      </c>
      <c r="F406" s="5" t="n">
        <v>8700</v>
      </c>
      <c r="G406" s="5" t="n">
        <v>788</v>
      </c>
      <c r="H406" s="10">
        <f>IF(E406&gt;0,G406/E406,"")</f>
        <v/>
      </c>
      <c r="I406" s="11">
        <f>IF(AND(F406&gt;0,G406&gt;0),F406/G406,"")</f>
        <v/>
      </c>
    </row>
    <row r="407">
      <c r="A407" s="4" t="inlineStr">
        <is>
          <t>400</t>
        </is>
      </c>
      <c r="B407" s="4" t="n">
        <v>4</v>
      </c>
      <c r="C407" s="4" t="inlineStr">
        <is>
          <t>mule deer</t>
        </is>
      </c>
      <c r="D407" s="4" t="n">
        <v>2022</v>
      </c>
      <c r="E407" s="5" t="n"/>
      <c r="F407" s="5" t="n"/>
      <c r="G407" s="5" t="n">
        <v>642</v>
      </c>
      <c r="H407" s="10">
        <f>IF(E407&gt;0,G407/E407,"")</f>
        <v/>
      </c>
      <c r="I407" s="11">
        <f>IF(AND(F407&gt;0,G407&gt;0),F407/G407,"")</f>
        <v/>
      </c>
    </row>
    <row r="408">
      <c r="A408" s="4" t="inlineStr">
        <is>
          <t>400</t>
        </is>
      </c>
      <c r="B408" s="4" t="n">
        <v>4</v>
      </c>
      <c r="C408" s="4" t="inlineStr">
        <is>
          <t>mule deer</t>
        </is>
      </c>
      <c r="D408" s="4" t="n">
        <v>2023</v>
      </c>
      <c r="E408" s="5" t="n">
        <v>1918</v>
      </c>
      <c r="F408" s="5" t="n">
        <v>10431</v>
      </c>
      <c r="G408" s="5" t="n">
        <v>849</v>
      </c>
      <c r="H408" s="10">
        <f>IF(E408&gt;0,G408/E408,"")</f>
        <v/>
      </c>
      <c r="I408" s="11">
        <f>IF(AND(F408&gt;0,G408&gt;0),F408/G408,"")</f>
        <v/>
      </c>
    </row>
    <row r="409">
      <c r="A409" s="4" t="inlineStr">
        <is>
          <t>400</t>
        </is>
      </c>
      <c r="B409" s="4" t="n">
        <v>4</v>
      </c>
      <c r="C409" s="4" t="inlineStr">
        <is>
          <t>mule deer</t>
        </is>
      </c>
      <c r="D409" s="4" t="n">
        <v>2024</v>
      </c>
      <c r="E409" s="5" t="n"/>
      <c r="F409" s="5" t="n"/>
      <c r="G409" s="5" t="n">
        <v>759</v>
      </c>
      <c r="H409" s="10">
        <f>IF(E409&gt;0,G409/E409,"")</f>
        <v/>
      </c>
      <c r="I409" s="11">
        <f>IF(AND(F409&gt;0,G409&gt;0),F409/G409,"")</f>
        <v/>
      </c>
    </row>
    <row r="410">
      <c r="A410" s="4" t="inlineStr">
        <is>
          <t>400</t>
        </is>
      </c>
      <c r="B410" s="4" t="n">
        <v>4</v>
      </c>
      <c r="C410" s="4" t="inlineStr">
        <is>
          <t>mule deer</t>
        </is>
      </c>
      <c r="D410" s="4" t="n">
        <v>2025</v>
      </c>
      <c r="E410" s="5" t="n">
        <v>2000</v>
      </c>
      <c r="F410" s="5" t="n">
        <v>12562</v>
      </c>
      <c r="G410" s="5" t="n">
        <v>725</v>
      </c>
      <c r="H410" s="10">
        <f>IF(E410&gt;0,G410/E410,"")</f>
        <v/>
      </c>
      <c r="I410" s="11">
        <f>IF(AND(F410&gt;0,G410&gt;0),F410/G410,"")</f>
        <v/>
      </c>
    </row>
    <row r="411">
      <c r="A411" s="4" t="inlineStr">
        <is>
          <t>401</t>
        </is>
      </c>
      <c r="B411" s="4" t="n">
        <v>4</v>
      </c>
      <c r="C411" s="4" t="inlineStr">
        <is>
          <t>mule deer</t>
        </is>
      </c>
      <c r="D411" s="4" t="n">
        <v>2021</v>
      </c>
      <c r="E411" s="5" t="n">
        <v>1330</v>
      </c>
      <c r="F411" s="5" t="n">
        <v>6942</v>
      </c>
      <c r="G411" s="5" t="n">
        <v>517</v>
      </c>
      <c r="H411" s="10">
        <f>IF(E411&gt;0,G411/E411,"")</f>
        <v/>
      </c>
      <c r="I411" s="11">
        <f>IF(AND(F411&gt;0,G411&gt;0),F411/G411,"")</f>
        <v/>
      </c>
    </row>
    <row r="412">
      <c r="A412" s="4" t="inlineStr">
        <is>
          <t>401</t>
        </is>
      </c>
      <c r="B412" s="4" t="n">
        <v>4</v>
      </c>
      <c r="C412" s="4" t="inlineStr">
        <is>
          <t>mule deer</t>
        </is>
      </c>
      <c r="D412" s="4" t="n">
        <v>2022</v>
      </c>
      <c r="E412" s="5" t="n"/>
      <c r="F412" s="5" t="n"/>
      <c r="G412" s="5" t="n">
        <v>511</v>
      </c>
      <c r="H412" s="10">
        <f>IF(E412&gt;0,G412/E412,"")</f>
        <v/>
      </c>
      <c r="I412" s="11">
        <f>IF(AND(F412&gt;0,G412&gt;0),F412/G412,"")</f>
        <v/>
      </c>
    </row>
    <row r="413">
      <c r="A413" s="4" t="inlineStr">
        <is>
          <t>401</t>
        </is>
      </c>
      <c r="B413" s="4" t="n">
        <v>4</v>
      </c>
      <c r="C413" s="4" t="inlineStr">
        <is>
          <t>mule deer</t>
        </is>
      </c>
      <c r="D413" s="4" t="n">
        <v>2023</v>
      </c>
      <c r="E413" s="5" t="n">
        <v>1392</v>
      </c>
      <c r="F413" s="5" t="n">
        <v>7224</v>
      </c>
      <c r="G413" s="5" t="n">
        <v>480</v>
      </c>
      <c r="H413" s="10">
        <f>IF(E413&gt;0,G413/E413,"")</f>
        <v/>
      </c>
      <c r="I413" s="11">
        <f>IF(AND(F413&gt;0,G413&gt;0),F413/G413,"")</f>
        <v/>
      </c>
    </row>
    <row r="414">
      <c r="A414" s="4" t="inlineStr">
        <is>
          <t>401</t>
        </is>
      </c>
      <c r="B414" s="4" t="n">
        <v>4</v>
      </c>
      <c r="C414" s="4" t="inlineStr">
        <is>
          <t>mule deer</t>
        </is>
      </c>
      <c r="D414" s="4" t="n">
        <v>2024</v>
      </c>
      <c r="E414" s="5" t="n"/>
      <c r="F414" s="5" t="n"/>
      <c r="G414" s="5" t="n">
        <v>443</v>
      </c>
      <c r="H414" s="10">
        <f>IF(E414&gt;0,G414/E414,"")</f>
        <v/>
      </c>
      <c r="I414" s="11">
        <f>IF(AND(F414&gt;0,G414&gt;0),F414/G414,"")</f>
        <v/>
      </c>
    </row>
    <row r="415">
      <c r="A415" s="4" t="inlineStr">
        <is>
          <t>401</t>
        </is>
      </c>
      <c r="B415" s="4" t="n">
        <v>4</v>
      </c>
      <c r="C415" s="4" t="inlineStr">
        <is>
          <t>mule deer</t>
        </is>
      </c>
      <c r="D415" s="4" t="n">
        <v>2025</v>
      </c>
      <c r="E415" s="5" t="n">
        <v>1204</v>
      </c>
      <c r="F415" s="5" t="n">
        <v>6225</v>
      </c>
      <c r="G415" s="5" t="n">
        <v>467</v>
      </c>
      <c r="H415" s="10">
        <f>IF(E415&gt;0,G415/E415,"")</f>
        <v/>
      </c>
      <c r="I415" s="11">
        <f>IF(AND(F415&gt;0,G415&gt;0),F415/G415,"")</f>
        <v/>
      </c>
    </row>
    <row r="416">
      <c r="A416" s="4" t="inlineStr">
        <is>
          <t>403</t>
        </is>
      </c>
      <c r="B416" s="4" t="n">
        <v>4</v>
      </c>
      <c r="C416" s="4" t="inlineStr">
        <is>
          <t>mule deer</t>
        </is>
      </c>
      <c r="D416" s="4" t="n">
        <v>2021</v>
      </c>
      <c r="E416" s="5" t="n">
        <v>416</v>
      </c>
      <c r="F416" s="5" t="n">
        <v>2110</v>
      </c>
      <c r="G416" s="5" t="n">
        <v>167</v>
      </c>
      <c r="H416" s="10">
        <f>IF(E416&gt;0,G416/E416,"")</f>
        <v/>
      </c>
      <c r="I416" s="11">
        <f>IF(AND(F416&gt;0,G416&gt;0),F416/G416,"")</f>
        <v/>
      </c>
    </row>
    <row r="417">
      <c r="A417" s="4" t="inlineStr">
        <is>
          <t>403</t>
        </is>
      </c>
      <c r="B417" s="4" t="n">
        <v>4</v>
      </c>
      <c r="C417" s="4" t="inlineStr">
        <is>
          <t>mule deer</t>
        </is>
      </c>
      <c r="D417" s="4" t="n">
        <v>2022</v>
      </c>
      <c r="E417" s="5" t="n"/>
      <c r="F417" s="5" t="n"/>
      <c r="G417" s="5" t="n">
        <v>198</v>
      </c>
      <c r="H417" s="10">
        <f>IF(E417&gt;0,G417/E417,"")</f>
        <v/>
      </c>
      <c r="I417" s="11">
        <f>IF(AND(F417&gt;0,G417&gt;0),F417/G417,"")</f>
        <v/>
      </c>
    </row>
    <row r="418">
      <c r="A418" s="4" t="inlineStr">
        <is>
          <t>403</t>
        </is>
      </c>
      <c r="B418" s="4" t="n">
        <v>4</v>
      </c>
      <c r="C418" s="4" t="inlineStr">
        <is>
          <t>mule deer</t>
        </is>
      </c>
      <c r="D418" s="4" t="n">
        <v>2023</v>
      </c>
      <c r="E418" s="5" t="n">
        <v>461</v>
      </c>
      <c r="F418" s="5" t="n">
        <v>2284</v>
      </c>
      <c r="G418" s="5" t="n">
        <v>206</v>
      </c>
      <c r="H418" s="10">
        <f>IF(E418&gt;0,G418/E418,"")</f>
        <v/>
      </c>
      <c r="I418" s="11">
        <f>IF(AND(F418&gt;0,G418&gt;0),F418/G418,"")</f>
        <v/>
      </c>
    </row>
    <row r="419">
      <c r="A419" s="4" t="inlineStr">
        <is>
          <t>403</t>
        </is>
      </c>
      <c r="B419" s="4" t="n">
        <v>4</v>
      </c>
      <c r="C419" s="4" t="inlineStr">
        <is>
          <t>mule deer</t>
        </is>
      </c>
      <c r="D419" s="4" t="n">
        <v>2024</v>
      </c>
      <c r="E419" s="5" t="n"/>
      <c r="F419" s="5" t="n"/>
      <c r="G419" s="5" t="n">
        <v>243</v>
      </c>
      <c r="H419" s="10">
        <f>IF(E419&gt;0,G419/E419,"")</f>
        <v/>
      </c>
      <c r="I419" s="11">
        <f>IF(AND(F419&gt;0,G419&gt;0),F419/G419,"")</f>
        <v/>
      </c>
    </row>
    <row r="420">
      <c r="A420" s="4" t="inlineStr">
        <is>
          <t>403</t>
        </is>
      </c>
      <c r="B420" s="4" t="n">
        <v>4</v>
      </c>
      <c r="C420" s="4" t="inlineStr">
        <is>
          <t>mule deer</t>
        </is>
      </c>
      <c r="D420" s="4" t="n">
        <v>2025</v>
      </c>
      <c r="E420" s="5" t="n">
        <v>418</v>
      </c>
      <c r="F420" s="5" t="n">
        <v>2149</v>
      </c>
      <c r="G420" s="5" t="n">
        <v>183</v>
      </c>
      <c r="H420" s="10">
        <f>IF(E420&gt;0,G420/E420,"")</f>
        <v/>
      </c>
      <c r="I420" s="11">
        <f>IF(AND(F420&gt;0,G420&gt;0),F420/G420,"")</f>
        <v/>
      </c>
    </row>
    <row r="421">
      <c r="A421" s="4" t="inlineStr">
        <is>
          <t>404</t>
        </is>
      </c>
      <c r="B421" s="4" t="n">
        <v>4</v>
      </c>
      <c r="C421" s="4" t="inlineStr">
        <is>
          <t>mule deer</t>
        </is>
      </c>
      <c r="D421" s="4" t="n">
        <v>2021</v>
      </c>
      <c r="E421" s="5" t="n">
        <v>1844</v>
      </c>
      <c r="F421" s="5" t="n">
        <v>8999</v>
      </c>
      <c r="G421" s="5" t="n">
        <v>651</v>
      </c>
      <c r="H421" s="10">
        <f>IF(E421&gt;0,G421/E421,"")</f>
        <v/>
      </c>
      <c r="I421" s="11">
        <f>IF(AND(F421&gt;0,G421&gt;0),F421/G421,"")</f>
        <v/>
      </c>
    </row>
    <row r="422">
      <c r="A422" s="4" t="inlineStr">
        <is>
          <t>404</t>
        </is>
      </c>
      <c r="B422" s="4" t="n">
        <v>4</v>
      </c>
      <c r="C422" s="4" t="inlineStr">
        <is>
          <t>mule deer</t>
        </is>
      </c>
      <c r="D422" s="4" t="n">
        <v>2022</v>
      </c>
      <c r="E422" s="5" t="n"/>
      <c r="F422" s="5" t="n"/>
      <c r="G422" s="5" t="n">
        <v>496</v>
      </c>
      <c r="H422" s="10">
        <f>IF(E422&gt;0,G422/E422,"")</f>
        <v/>
      </c>
      <c r="I422" s="11">
        <f>IF(AND(F422&gt;0,G422&gt;0),F422/G422,"")</f>
        <v/>
      </c>
    </row>
    <row r="423">
      <c r="A423" s="4" t="inlineStr">
        <is>
          <t>404</t>
        </is>
      </c>
      <c r="B423" s="4" t="n">
        <v>4</v>
      </c>
      <c r="C423" s="4" t="inlineStr">
        <is>
          <t>mule deer</t>
        </is>
      </c>
      <c r="D423" s="4" t="n">
        <v>2023</v>
      </c>
      <c r="E423" s="5" t="n">
        <v>1812</v>
      </c>
      <c r="F423" s="5" t="n">
        <v>9049</v>
      </c>
      <c r="G423" s="5" t="n">
        <v>636</v>
      </c>
      <c r="H423" s="10">
        <f>IF(E423&gt;0,G423/E423,"")</f>
        <v/>
      </c>
      <c r="I423" s="11">
        <f>IF(AND(F423&gt;0,G423&gt;0),F423/G423,"")</f>
        <v/>
      </c>
    </row>
    <row r="424">
      <c r="A424" s="4" t="inlineStr">
        <is>
          <t>404</t>
        </is>
      </c>
      <c r="B424" s="4" t="n">
        <v>4</v>
      </c>
      <c r="C424" s="4" t="inlineStr">
        <is>
          <t>mule deer</t>
        </is>
      </c>
      <c r="D424" s="4" t="n">
        <v>2024</v>
      </c>
      <c r="E424" s="5" t="n"/>
      <c r="F424" s="5" t="n"/>
      <c r="G424" s="5" t="n">
        <v>653</v>
      </c>
      <c r="H424" s="10">
        <f>IF(E424&gt;0,G424/E424,"")</f>
        <v/>
      </c>
      <c r="I424" s="11">
        <f>IF(AND(F424&gt;0,G424&gt;0),F424/G424,"")</f>
        <v/>
      </c>
    </row>
    <row r="425">
      <c r="A425" s="4" t="inlineStr">
        <is>
          <t>404</t>
        </is>
      </c>
      <c r="B425" s="4" t="n">
        <v>4</v>
      </c>
      <c r="C425" s="4" t="inlineStr">
        <is>
          <t>mule deer</t>
        </is>
      </c>
      <c r="D425" s="4" t="n">
        <v>2025</v>
      </c>
      <c r="E425" s="5" t="n">
        <v>1850</v>
      </c>
      <c r="F425" s="5" t="n">
        <v>9575</v>
      </c>
      <c r="G425" s="5" t="n">
        <v>491</v>
      </c>
      <c r="H425" s="10">
        <f>IF(E425&gt;0,G425/E425,"")</f>
        <v/>
      </c>
      <c r="I425" s="11">
        <f>IF(AND(F425&gt;0,G425&gt;0),F425/G425,"")</f>
        <v/>
      </c>
    </row>
    <row r="426">
      <c r="A426" s="4" t="inlineStr">
        <is>
          <t>405</t>
        </is>
      </c>
      <c r="B426" s="4" t="n">
        <v>4</v>
      </c>
      <c r="C426" s="4" t="inlineStr">
        <is>
          <t>mule deer</t>
        </is>
      </c>
      <c r="D426" s="4" t="n">
        <v>2021</v>
      </c>
      <c r="E426" s="5" t="n">
        <v>968</v>
      </c>
      <c r="F426" s="5" t="n">
        <v>4767</v>
      </c>
      <c r="G426" s="5" t="n">
        <v>574</v>
      </c>
      <c r="H426" s="10">
        <f>IF(E426&gt;0,G426/E426,"")</f>
        <v/>
      </c>
      <c r="I426" s="11">
        <f>IF(AND(F426&gt;0,G426&gt;0),F426/G426,"")</f>
        <v/>
      </c>
    </row>
    <row r="427">
      <c r="A427" s="4" t="inlineStr">
        <is>
          <t>405</t>
        </is>
      </c>
      <c r="B427" s="4" t="n">
        <v>4</v>
      </c>
      <c r="C427" s="4" t="inlineStr">
        <is>
          <t>mule deer</t>
        </is>
      </c>
      <c r="D427" s="4" t="n">
        <v>2022</v>
      </c>
      <c r="E427" s="5" t="n"/>
      <c r="F427" s="5" t="n"/>
      <c r="G427" s="5" t="n">
        <v>682</v>
      </c>
      <c r="H427" s="10">
        <f>IF(E427&gt;0,G427/E427,"")</f>
        <v/>
      </c>
      <c r="I427" s="11">
        <f>IF(AND(F427&gt;0,G427&gt;0),F427/G427,"")</f>
        <v/>
      </c>
    </row>
    <row r="428">
      <c r="A428" s="4" t="inlineStr">
        <is>
          <t>405</t>
        </is>
      </c>
      <c r="B428" s="4" t="n">
        <v>4</v>
      </c>
      <c r="C428" s="4" t="inlineStr">
        <is>
          <t>mule deer</t>
        </is>
      </c>
      <c r="D428" s="4" t="n">
        <v>2023</v>
      </c>
      <c r="E428" s="5" t="n">
        <v>1131</v>
      </c>
      <c r="F428" s="5" t="n">
        <v>5253</v>
      </c>
      <c r="G428" s="5" t="n">
        <v>583</v>
      </c>
      <c r="H428" s="10">
        <f>IF(E428&gt;0,G428/E428,"")</f>
        <v/>
      </c>
      <c r="I428" s="11">
        <f>IF(AND(F428&gt;0,G428&gt;0),F428/G428,"")</f>
        <v/>
      </c>
    </row>
    <row r="429">
      <c r="A429" s="4" t="inlineStr">
        <is>
          <t>405</t>
        </is>
      </c>
      <c r="B429" s="4" t="n">
        <v>4</v>
      </c>
      <c r="C429" s="4" t="inlineStr">
        <is>
          <t>mule deer</t>
        </is>
      </c>
      <c r="D429" s="4" t="n">
        <v>2024</v>
      </c>
      <c r="E429" s="5" t="n"/>
      <c r="F429" s="5" t="n"/>
      <c r="G429" s="5" t="n">
        <v>698</v>
      </c>
      <c r="H429" s="10">
        <f>IF(E429&gt;0,G429/E429,"")</f>
        <v/>
      </c>
      <c r="I429" s="11">
        <f>IF(AND(F429&gt;0,G429&gt;0),F429/G429,"")</f>
        <v/>
      </c>
    </row>
    <row r="430">
      <c r="A430" s="4" t="inlineStr">
        <is>
          <t>405</t>
        </is>
      </c>
      <c r="B430" s="4" t="n">
        <v>4</v>
      </c>
      <c r="C430" s="4" t="inlineStr">
        <is>
          <t>mule deer</t>
        </is>
      </c>
      <c r="D430" s="4" t="n">
        <v>2025</v>
      </c>
      <c r="E430" s="5" t="n">
        <v>1279</v>
      </c>
      <c r="F430" s="5" t="n">
        <v>6315</v>
      </c>
      <c r="G430" s="5" t="n">
        <v>588</v>
      </c>
      <c r="H430" s="10">
        <f>IF(E430&gt;0,G430/E430,"")</f>
        <v/>
      </c>
      <c r="I430" s="11">
        <f>IF(AND(F430&gt;0,G430&gt;0),F430/G430,"")</f>
        <v/>
      </c>
    </row>
    <row r="431">
      <c r="A431" s="4" t="inlineStr">
        <is>
          <t>406</t>
        </is>
      </c>
      <c r="B431" s="4" t="n">
        <v>4</v>
      </c>
      <c r="C431" s="4" t="inlineStr">
        <is>
          <t>mule deer</t>
        </is>
      </c>
      <c r="D431" s="4" t="n">
        <v>2021</v>
      </c>
      <c r="E431" s="5" t="n">
        <v>620</v>
      </c>
      <c r="F431" s="5" t="n">
        <v>3176</v>
      </c>
      <c r="G431" s="5" t="n">
        <v>210</v>
      </c>
      <c r="H431" s="10">
        <f>IF(E431&gt;0,G431/E431,"")</f>
        <v/>
      </c>
      <c r="I431" s="11">
        <f>IF(AND(F431&gt;0,G431&gt;0),F431/G431,"")</f>
        <v/>
      </c>
    </row>
    <row r="432">
      <c r="A432" s="4" t="inlineStr">
        <is>
          <t>406</t>
        </is>
      </c>
      <c r="B432" s="4" t="n">
        <v>4</v>
      </c>
      <c r="C432" s="4" t="inlineStr">
        <is>
          <t>mule deer</t>
        </is>
      </c>
      <c r="D432" s="4" t="n">
        <v>2022</v>
      </c>
      <c r="E432" s="5" t="n"/>
      <c r="F432" s="5" t="n"/>
      <c r="G432" s="5" t="n">
        <v>262</v>
      </c>
      <c r="H432" s="10">
        <f>IF(E432&gt;0,G432/E432,"")</f>
        <v/>
      </c>
      <c r="I432" s="11">
        <f>IF(AND(F432&gt;0,G432&gt;0),F432/G432,"")</f>
        <v/>
      </c>
    </row>
    <row r="433">
      <c r="A433" s="4" t="inlineStr">
        <is>
          <t>406</t>
        </is>
      </c>
      <c r="B433" s="4" t="n">
        <v>4</v>
      </c>
      <c r="C433" s="4" t="inlineStr">
        <is>
          <t>mule deer</t>
        </is>
      </c>
      <c r="D433" s="4" t="n">
        <v>2023</v>
      </c>
      <c r="E433" s="5" t="n">
        <v>715</v>
      </c>
      <c r="F433" s="5" t="n">
        <v>3328</v>
      </c>
      <c r="G433" s="5" t="n">
        <v>275</v>
      </c>
      <c r="H433" s="10">
        <f>IF(E433&gt;0,G433/E433,"")</f>
        <v/>
      </c>
      <c r="I433" s="11">
        <f>IF(AND(F433&gt;0,G433&gt;0),F433/G433,"")</f>
        <v/>
      </c>
    </row>
    <row r="434">
      <c r="A434" s="4" t="inlineStr">
        <is>
          <t>406</t>
        </is>
      </c>
      <c r="B434" s="4" t="n">
        <v>4</v>
      </c>
      <c r="C434" s="4" t="inlineStr">
        <is>
          <t>mule deer</t>
        </is>
      </c>
      <c r="D434" s="4" t="n">
        <v>2024</v>
      </c>
      <c r="E434" s="5" t="n"/>
      <c r="F434" s="5" t="n"/>
      <c r="G434" s="5" t="n">
        <v>297</v>
      </c>
      <c r="H434" s="10">
        <f>IF(E434&gt;0,G434/E434,"")</f>
        <v/>
      </c>
      <c r="I434" s="11">
        <f>IF(AND(F434&gt;0,G434&gt;0),F434/G434,"")</f>
        <v/>
      </c>
    </row>
    <row r="435">
      <c r="A435" s="4" t="inlineStr">
        <is>
          <t>406</t>
        </is>
      </c>
      <c r="B435" s="4" t="n">
        <v>4</v>
      </c>
      <c r="C435" s="4" t="inlineStr">
        <is>
          <t>mule deer</t>
        </is>
      </c>
      <c r="D435" s="4" t="n">
        <v>2025</v>
      </c>
      <c r="E435" s="5" t="n">
        <v>731</v>
      </c>
      <c r="F435" s="5" t="n">
        <v>3305</v>
      </c>
      <c r="G435" s="5" t="n">
        <v>239</v>
      </c>
      <c r="H435" s="10">
        <f>IF(E435&gt;0,G435/E435,"")</f>
        <v/>
      </c>
      <c r="I435" s="11">
        <f>IF(AND(F435&gt;0,G435&gt;0),F435/G435,"")</f>
        <v/>
      </c>
    </row>
    <row r="436">
      <c r="A436" s="4" t="inlineStr">
        <is>
          <t>410</t>
        </is>
      </c>
      <c r="B436" s="4" t="n">
        <v>4</v>
      </c>
      <c r="C436" s="4" t="inlineStr">
        <is>
          <t>mule deer</t>
        </is>
      </c>
      <c r="D436" s="4" t="n">
        <v>2021</v>
      </c>
      <c r="E436" s="5" t="n">
        <v>2294</v>
      </c>
      <c r="F436" s="5" t="n">
        <v>14143</v>
      </c>
      <c r="G436" s="5" t="n">
        <v>538</v>
      </c>
      <c r="H436" s="10">
        <f>IF(E436&gt;0,G436/E436,"")</f>
        <v/>
      </c>
      <c r="I436" s="11">
        <f>IF(AND(F436&gt;0,G436&gt;0),F436/G436,"")</f>
        <v/>
      </c>
    </row>
    <row r="437">
      <c r="A437" s="4" t="inlineStr">
        <is>
          <t>410</t>
        </is>
      </c>
      <c r="B437" s="4" t="n">
        <v>4</v>
      </c>
      <c r="C437" s="4" t="inlineStr">
        <is>
          <t>mule deer</t>
        </is>
      </c>
      <c r="D437" s="4" t="n">
        <v>2022</v>
      </c>
      <c r="E437" s="5" t="n"/>
      <c r="F437" s="5" t="n"/>
      <c r="G437" s="5" t="n">
        <v>418</v>
      </c>
      <c r="H437" s="10">
        <f>IF(E437&gt;0,G437/E437,"")</f>
        <v/>
      </c>
      <c r="I437" s="11">
        <f>IF(AND(F437&gt;0,G437&gt;0),F437/G437,"")</f>
        <v/>
      </c>
    </row>
    <row r="438">
      <c r="A438" s="4" t="inlineStr">
        <is>
          <t>410</t>
        </is>
      </c>
      <c r="B438" s="4" t="n">
        <v>4</v>
      </c>
      <c r="C438" s="4" t="inlineStr">
        <is>
          <t>mule deer</t>
        </is>
      </c>
      <c r="D438" s="4" t="n">
        <v>2023</v>
      </c>
      <c r="E438" s="5" t="n">
        <v>1475</v>
      </c>
      <c r="F438" s="5" t="n">
        <v>8791</v>
      </c>
      <c r="G438" s="5" t="n">
        <v>373</v>
      </c>
      <c r="H438" s="10">
        <f>IF(E438&gt;0,G438/E438,"")</f>
        <v/>
      </c>
      <c r="I438" s="11">
        <f>IF(AND(F438&gt;0,G438&gt;0),F438/G438,"")</f>
        <v/>
      </c>
    </row>
    <row r="439">
      <c r="A439" s="4" t="inlineStr">
        <is>
          <t>410</t>
        </is>
      </c>
      <c r="B439" s="4" t="n">
        <v>4</v>
      </c>
      <c r="C439" s="4" t="inlineStr">
        <is>
          <t>mule deer</t>
        </is>
      </c>
      <c r="D439" s="4" t="n">
        <v>2024</v>
      </c>
      <c r="E439" s="5" t="n"/>
      <c r="F439" s="5" t="n"/>
      <c r="G439" s="5" t="n">
        <v>79</v>
      </c>
      <c r="H439" s="10">
        <f>IF(E439&gt;0,G439/E439,"")</f>
        <v/>
      </c>
      <c r="I439" s="11">
        <f>IF(AND(F439&gt;0,G439&gt;0),F439/G439,"")</f>
        <v/>
      </c>
    </row>
    <row r="440">
      <c r="A440" s="4" t="inlineStr">
        <is>
          <t>410</t>
        </is>
      </c>
      <c r="B440" s="4" t="n">
        <v>4</v>
      </c>
      <c r="C440" s="4" t="inlineStr">
        <is>
          <t>mule deer</t>
        </is>
      </c>
      <c r="D440" s="4" t="n">
        <v>2025</v>
      </c>
      <c r="E440" s="5" t="n">
        <v>505</v>
      </c>
      <c r="F440" s="5" t="n">
        <v>3423</v>
      </c>
      <c r="G440" s="5" t="n">
        <v>92</v>
      </c>
      <c r="H440" s="10">
        <f>IF(E440&gt;0,G440/E440,"")</f>
        <v/>
      </c>
      <c r="I440" s="11">
        <f>IF(AND(F440&gt;0,G440&gt;0),F440/G440,"")</f>
        <v/>
      </c>
    </row>
    <row r="441">
      <c r="A441" s="4" t="inlineStr">
        <is>
          <t>411</t>
        </is>
      </c>
      <c r="B441" s="4" t="n">
        <v>4</v>
      </c>
      <c r="C441" s="4" t="inlineStr">
        <is>
          <t>mule deer</t>
        </is>
      </c>
      <c r="D441" s="4" t="n">
        <v>2021</v>
      </c>
      <c r="E441" s="5" t="n">
        <v>2654</v>
      </c>
      <c r="F441" s="5" t="n">
        <v>15250</v>
      </c>
      <c r="G441" s="5" t="n">
        <v>635</v>
      </c>
      <c r="H441" s="10">
        <f>IF(E441&gt;0,G441/E441,"")</f>
        <v/>
      </c>
      <c r="I441" s="11">
        <f>IF(AND(F441&gt;0,G441&gt;0),F441/G441,"")</f>
        <v/>
      </c>
    </row>
    <row r="442">
      <c r="A442" s="4" t="inlineStr">
        <is>
          <t>411</t>
        </is>
      </c>
      <c r="B442" s="4" t="n">
        <v>4</v>
      </c>
      <c r="C442" s="4" t="inlineStr">
        <is>
          <t>mule deer</t>
        </is>
      </c>
      <c r="D442" s="4" t="n">
        <v>2022</v>
      </c>
      <c r="E442" s="5" t="n"/>
      <c r="F442" s="5" t="n"/>
      <c r="G442" s="5" t="n">
        <v>435</v>
      </c>
      <c r="H442" s="10">
        <f>IF(E442&gt;0,G442/E442,"")</f>
        <v/>
      </c>
      <c r="I442" s="11">
        <f>IF(AND(F442&gt;0,G442&gt;0),F442/G442,"")</f>
        <v/>
      </c>
    </row>
    <row r="443">
      <c r="A443" s="4" t="inlineStr">
        <is>
          <t>411</t>
        </is>
      </c>
      <c r="B443" s="4" t="n">
        <v>4</v>
      </c>
      <c r="C443" s="4" t="inlineStr">
        <is>
          <t>mule deer</t>
        </is>
      </c>
      <c r="D443" s="4" t="n">
        <v>2023</v>
      </c>
      <c r="E443" s="5" t="n">
        <v>2390</v>
      </c>
      <c r="F443" s="5" t="n">
        <v>13501</v>
      </c>
      <c r="G443" s="5" t="n">
        <v>433</v>
      </c>
      <c r="H443" s="10">
        <f>IF(E443&gt;0,G443/E443,"")</f>
        <v/>
      </c>
      <c r="I443" s="11">
        <f>IF(AND(F443&gt;0,G443&gt;0),F443/G443,"")</f>
        <v/>
      </c>
    </row>
    <row r="444">
      <c r="A444" s="4" t="inlineStr">
        <is>
          <t>411</t>
        </is>
      </c>
      <c r="B444" s="4" t="n">
        <v>4</v>
      </c>
      <c r="C444" s="4" t="inlineStr">
        <is>
          <t>mule deer</t>
        </is>
      </c>
      <c r="D444" s="4" t="n">
        <v>2024</v>
      </c>
      <c r="E444" s="5" t="n"/>
      <c r="F444" s="5" t="n"/>
      <c r="G444" s="5" t="n">
        <v>439</v>
      </c>
      <c r="H444" s="10">
        <f>IF(E444&gt;0,G444/E444,"")</f>
        <v/>
      </c>
      <c r="I444" s="11">
        <f>IF(AND(F444&gt;0,G444&gt;0),F444/G444,"")</f>
        <v/>
      </c>
    </row>
    <row r="445">
      <c r="A445" s="4" t="inlineStr">
        <is>
          <t>411</t>
        </is>
      </c>
      <c r="B445" s="4" t="n">
        <v>4</v>
      </c>
      <c r="C445" s="4" t="inlineStr">
        <is>
          <t>mule deer</t>
        </is>
      </c>
      <c r="D445" s="4" t="n">
        <v>2025</v>
      </c>
      <c r="E445" s="5" t="n">
        <v>2383</v>
      </c>
      <c r="F445" s="5" t="n">
        <v>14657</v>
      </c>
      <c r="G445" s="5" t="n">
        <v>394</v>
      </c>
      <c r="H445" s="10">
        <f>IF(E445&gt;0,G445/E445,"")</f>
        <v/>
      </c>
      <c r="I445" s="11">
        <f>IF(AND(F445&gt;0,G445&gt;0),F445/G445,"")</f>
        <v/>
      </c>
    </row>
    <row r="446">
      <c r="A446" s="4" t="inlineStr">
        <is>
          <t>412</t>
        </is>
      </c>
      <c r="B446" s="4" t="n">
        <v>4</v>
      </c>
      <c r="C446" s="4" t="inlineStr">
        <is>
          <t>mule deer</t>
        </is>
      </c>
      <c r="D446" s="4" t="n">
        <v>2021</v>
      </c>
      <c r="E446" s="5" t="n">
        <v>1508</v>
      </c>
      <c r="F446" s="5" t="n">
        <v>7674</v>
      </c>
      <c r="G446" s="5" t="n">
        <v>524</v>
      </c>
      <c r="H446" s="10">
        <f>IF(E446&gt;0,G446/E446,"")</f>
        <v/>
      </c>
      <c r="I446" s="11">
        <f>IF(AND(F446&gt;0,G446&gt;0),F446/G446,"")</f>
        <v/>
      </c>
    </row>
    <row r="447">
      <c r="A447" s="4" t="inlineStr">
        <is>
          <t>412</t>
        </is>
      </c>
      <c r="B447" s="4" t="n">
        <v>4</v>
      </c>
      <c r="C447" s="4" t="inlineStr">
        <is>
          <t>mule deer</t>
        </is>
      </c>
      <c r="D447" s="4" t="n">
        <v>2022</v>
      </c>
      <c r="E447" s="5" t="n"/>
      <c r="F447" s="5" t="n"/>
      <c r="G447" s="5" t="n">
        <v>467</v>
      </c>
      <c r="H447" s="10">
        <f>IF(E447&gt;0,G447/E447,"")</f>
        <v/>
      </c>
      <c r="I447" s="11">
        <f>IF(AND(F447&gt;0,G447&gt;0),F447/G447,"")</f>
        <v/>
      </c>
    </row>
    <row r="448">
      <c r="A448" s="4" t="inlineStr">
        <is>
          <t>412</t>
        </is>
      </c>
      <c r="B448" s="4" t="n">
        <v>4</v>
      </c>
      <c r="C448" s="4" t="inlineStr">
        <is>
          <t>mule deer</t>
        </is>
      </c>
      <c r="D448" s="4" t="n">
        <v>2023</v>
      </c>
      <c r="E448" s="5" t="n">
        <v>1421</v>
      </c>
      <c r="F448" s="5" t="n">
        <v>7474</v>
      </c>
      <c r="G448" s="5" t="n">
        <v>393</v>
      </c>
      <c r="H448" s="10">
        <f>IF(E448&gt;0,G448/E448,"")</f>
        <v/>
      </c>
      <c r="I448" s="11">
        <f>IF(AND(F448&gt;0,G448&gt;0),F448/G448,"")</f>
        <v/>
      </c>
    </row>
    <row r="449">
      <c r="A449" s="4" t="inlineStr">
        <is>
          <t>412</t>
        </is>
      </c>
      <c r="B449" s="4" t="n">
        <v>4</v>
      </c>
      <c r="C449" s="4" t="inlineStr">
        <is>
          <t>mule deer</t>
        </is>
      </c>
      <c r="D449" s="4" t="n">
        <v>2024</v>
      </c>
      <c r="E449" s="5" t="n"/>
      <c r="F449" s="5" t="n"/>
      <c r="G449" s="5" t="n">
        <v>361</v>
      </c>
      <c r="H449" s="10">
        <f>IF(E449&gt;0,G449/E449,"")</f>
        <v/>
      </c>
      <c r="I449" s="11">
        <f>IF(AND(F449&gt;0,G449&gt;0),F449/G449,"")</f>
        <v/>
      </c>
    </row>
    <row r="450">
      <c r="A450" s="4" t="inlineStr">
        <is>
          <t>412</t>
        </is>
      </c>
      <c r="B450" s="4" t="n">
        <v>4</v>
      </c>
      <c r="C450" s="4" t="inlineStr">
        <is>
          <t>mule deer</t>
        </is>
      </c>
      <c r="D450" s="4" t="n">
        <v>2025</v>
      </c>
      <c r="E450" s="5" t="n">
        <v>1139</v>
      </c>
      <c r="F450" s="5" t="n">
        <v>6654</v>
      </c>
      <c r="G450" s="5" t="n">
        <v>353</v>
      </c>
      <c r="H450" s="10">
        <f>IF(E450&gt;0,G450/E450,"")</f>
        <v/>
      </c>
      <c r="I450" s="11">
        <f>IF(AND(F450&gt;0,G450&gt;0),F450/G450,"")</f>
        <v/>
      </c>
    </row>
    <row r="451">
      <c r="A451" s="4" t="inlineStr">
        <is>
          <t>413</t>
        </is>
      </c>
      <c r="B451" s="4" t="n">
        <v>4</v>
      </c>
      <c r="C451" s="4" t="inlineStr">
        <is>
          <t>mule deer</t>
        </is>
      </c>
      <c r="D451" s="4" t="n">
        <v>2021</v>
      </c>
      <c r="E451" s="5" t="n">
        <v>1901</v>
      </c>
      <c r="F451" s="5" t="n">
        <v>9654</v>
      </c>
      <c r="G451" s="5" t="n">
        <v>532</v>
      </c>
      <c r="H451" s="10">
        <f>IF(E451&gt;0,G451/E451,"")</f>
        <v/>
      </c>
      <c r="I451" s="11">
        <f>IF(AND(F451&gt;0,G451&gt;0),F451/G451,"")</f>
        <v/>
      </c>
    </row>
    <row r="452">
      <c r="A452" s="4" t="inlineStr">
        <is>
          <t>413</t>
        </is>
      </c>
      <c r="B452" s="4" t="n">
        <v>4</v>
      </c>
      <c r="C452" s="4" t="inlineStr">
        <is>
          <t>mule deer</t>
        </is>
      </c>
      <c r="D452" s="4" t="n">
        <v>2022</v>
      </c>
      <c r="E452" s="5" t="n"/>
      <c r="F452" s="5" t="n"/>
      <c r="G452" s="5" t="n">
        <v>776</v>
      </c>
      <c r="H452" s="10">
        <f>IF(E452&gt;0,G452/E452,"")</f>
        <v/>
      </c>
      <c r="I452" s="11">
        <f>IF(AND(F452&gt;0,G452&gt;0),F452/G452,"")</f>
        <v/>
      </c>
    </row>
    <row r="453">
      <c r="A453" s="4" t="inlineStr">
        <is>
          <t>413</t>
        </is>
      </c>
      <c r="B453" s="4" t="n">
        <v>4</v>
      </c>
      <c r="C453" s="4" t="inlineStr">
        <is>
          <t>mule deer</t>
        </is>
      </c>
      <c r="D453" s="4" t="n">
        <v>2023</v>
      </c>
      <c r="E453" s="5" t="n">
        <v>2783</v>
      </c>
      <c r="F453" s="5" t="n">
        <v>15981</v>
      </c>
      <c r="G453" s="5" t="n">
        <v>732</v>
      </c>
      <c r="H453" s="10">
        <f>IF(E453&gt;0,G453/E453,"")</f>
        <v/>
      </c>
      <c r="I453" s="11">
        <f>IF(AND(F453&gt;0,G453&gt;0),F453/G453,"")</f>
        <v/>
      </c>
    </row>
    <row r="454">
      <c r="A454" s="4" t="inlineStr">
        <is>
          <t>413</t>
        </is>
      </c>
      <c r="B454" s="4" t="n">
        <v>4</v>
      </c>
      <c r="C454" s="4" t="inlineStr">
        <is>
          <t>mule deer</t>
        </is>
      </c>
      <c r="D454" s="4" t="n">
        <v>2024</v>
      </c>
      <c r="E454" s="5" t="n"/>
      <c r="F454" s="5" t="n"/>
      <c r="G454" s="5" t="n">
        <v>754</v>
      </c>
      <c r="H454" s="10">
        <f>IF(E454&gt;0,G454/E454,"")</f>
        <v/>
      </c>
      <c r="I454" s="11">
        <f>IF(AND(F454&gt;0,G454&gt;0),F454/G454,"")</f>
        <v/>
      </c>
    </row>
    <row r="455">
      <c r="A455" s="4" t="inlineStr">
        <is>
          <t>413</t>
        </is>
      </c>
      <c r="B455" s="4" t="n">
        <v>4</v>
      </c>
      <c r="C455" s="4" t="inlineStr">
        <is>
          <t>mule deer</t>
        </is>
      </c>
      <c r="D455" s="4" t="n">
        <v>2025</v>
      </c>
      <c r="E455" s="5" t="n">
        <v>2609</v>
      </c>
      <c r="F455" s="5" t="n">
        <v>17008</v>
      </c>
      <c r="G455" s="5" t="n">
        <v>564</v>
      </c>
      <c r="H455" s="10">
        <f>IF(E455&gt;0,G455/E455,"")</f>
        <v/>
      </c>
      <c r="I455" s="11">
        <f>IF(AND(F455&gt;0,G455&gt;0),F455/G455,"")</f>
        <v/>
      </c>
    </row>
    <row r="456">
      <c r="A456" s="4" t="inlineStr">
        <is>
          <t>415</t>
        </is>
      </c>
      <c r="B456" s="4" t="n">
        <v>4</v>
      </c>
      <c r="C456" s="4" t="inlineStr">
        <is>
          <t>mule deer</t>
        </is>
      </c>
      <c r="D456" s="4" t="n">
        <v>2021</v>
      </c>
      <c r="E456" s="5" t="n">
        <v>124</v>
      </c>
      <c r="F456" s="5" t="n">
        <v>736</v>
      </c>
      <c r="G456" s="5" t="n">
        <v>8</v>
      </c>
      <c r="H456" s="10">
        <f>IF(E456&gt;0,G456/E456,"")</f>
        <v/>
      </c>
      <c r="I456" s="11">
        <f>IF(AND(F456&gt;0,G456&gt;0),F456/G456,"")</f>
        <v/>
      </c>
    </row>
    <row r="457">
      <c r="A457" s="4" t="inlineStr">
        <is>
          <t>415</t>
        </is>
      </c>
      <c r="B457" s="4" t="n">
        <v>4</v>
      </c>
      <c r="C457" s="4" t="inlineStr">
        <is>
          <t>mule deer</t>
        </is>
      </c>
      <c r="D457" s="4" t="n">
        <v>2022</v>
      </c>
      <c r="E457" s="5" t="n"/>
      <c r="F457" s="5" t="n"/>
      <c r="G457" s="5" t="n">
        <v>7</v>
      </c>
      <c r="H457" s="10">
        <f>IF(E457&gt;0,G457/E457,"")</f>
        <v/>
      </c>
      <c r="I457" s="11">
        <f>IF(AND(F457&gt;0,G457&gt;0),F457/G457,"")</f>
        <v/>
      </c>
    </row>
    <row r="458">
      <c r="A458" s="4" t="inlineStr">
        <is>
          <t>415</t>
        </is>
      </c>
      <c r="B458" s="4" t="n">
        <v>4</v>
      </c>
      <c r="C458" s="4" t="inlineStr">
        <is>
          <t>mule deer</t>
        </is>
      </c>
      <c r="D458" s="4" t="n">
        <v>2023</v>
      </c>
      <c r="E458" s="5" t="n">
        <v>111</v>
      </c>
      <c r="F458" s="5" t="n">
        <v>1201</v>
      </c>
      <c r="G458" s="5" t="n">
        <v>24</v>
      </c>
      <c r="H458" s="10">
        <f>IF(E458&gt;0,G458/E458,"")</f>
        <v/>
      </c>
      <c r="I458" s="11">
        <f>IF(AND(F458&gt;0,G458&gt;0),F458/G458,"")</f>
        <v/>
      </c>
    </row>
    <row r="459">
      <c r="A459" s="4" t="inlineStr">
        <is>
          <t>415</t>
        </is>
      </c>
      <c r="B459" s="4" t="n">
        <v>4</v>
      </c>
      <c r="C459" s="4" t="inlineStr">
        <is>
          <t>mule deer</t>
        </is>
      </c>
      <c r="D459" s="4" t="n">
        <v>2024</v>
      </c>
      <c r="E459" s="5" t="n"/>
      <c r="F459" s="5" t="n"/>
      <c r="G459" s="5" t="n">
        <v>18</v>
      </c>
      <c r="H459" s="10">
        <f>IF(E459&gt;0,G459/E459,"")</f>
        <v/>
      </c>
      <c r="I459" s="11">
        <f>IF(AND(F459&gt;0,G459&gt;0),F459/G459,"")</f>
        <v/>
      </c>
    </row>
    <row r="460">
      <c r="A460" s="4" t="inlineStr">
        <is>
          <t>415</t>
        </is>
      </c>
      <c r="B460" s="4" t="n">
        <v>4</v>
      </c>
      <c r="C460" s="4" t="inlineStr">
        <is>
          <t>mule deer</t>
        </is>
      </c>
      <c r="D460" s="4" t="n">
        <v>2025</v>
      </c>
      <c r="E460" s="5" t="n">
        <v>102</v>
      </c>
      <c r="F460" s="5" t="n">
        <v>539</v>
      </c>
      <c r="G460" s="5" t="n">
        <v>11</v>
      </c>
      <c r="H460" s="10">
        <f>IF(E460&gt;0,G460/E460,"")</f>
        <v/>
      </c>
      <c r="I460" s="11">
        <f>IF(AND(F460&gt;0,G460&gt;0),F460/G460,"")</f>
        <v/>
      </c>
    </row>
    <row r="461">
      <c r="A461" s="4" t="inlineStr">
        <is>
          <t>416</t>
        </is>
      </c>
      <c r="B461" s="4" t="n">
        <v>4</v>
      </c>
      <c r="C461" s="4" t="inlineStr">
        <is>
          <t>mule deer</t>
        </is>
      </c>
      <c r="D461" s="4" t="n">
        <v>2021</v>
      </c>
      <c r="E461" s="5" t="n">
        <v>1253</v>
      </c>
      <c r="F461" s="5" t="n">
        <v>7860</v>
      </c>
      <c r="G461" s="5" t="n">
        <v>247</v>
      </c>
      <c r="H461" s="10">
        <f>IF(E461&gt;0,G461/E461,"")</f>
        <v/>
      </c>
      <c r="I461" s="11">
        <f>IF(AND(F461&gt;0,G461&gt;0),F461/G461,"")</f>
        <v/>
      </c>
    </row>
    <row r="462">
      <c r="A462" s="4" t="inlineStr">
        <is>
          <t>416</t>
        </is>
      </c>
      <c r="B462" s="4" t="n">
        <v>4</v>
      </c>
      <c r="C462" s="4" t="inlineStr">
        <is>
          <t>mule deer</t>
        </is>
      </c>
      <c r="D462" s="4" t="n">
        <v>2022</v>
      </c>
      <c r="E462" s="5" t="n"/>
      <c r="F462" s="5" t="n"/>
      <c r="G462" s="5" t="n">
        <v>353</v>
      </c>
      <c r="H462" s="10">
        <f>IF(E462&gt;0,G462/E462,"")</f>
        <v/>
      </c>
      <c r="I462" s="11">
        <f>IF(AND(F462&gt;0,G462&gt;0),F462/G462,"")</f>
        <v/>
      </c>
    </row>
    <row r="463">
      <c r="A463" s="4" t="inlineStr">
        <is>
          <t>416</t>
        </is>
      </c>
      <c r="B463" s="4" t="n">
        <v>4</v>
      </c>
      <c r="C463" s="4" t="inlineStr">
        <is>
          <t>mule deer</t>
        </is>
      </c>
      <c r="D463" s="4" t="n">
        <v>2023</v>
      </c>
      <c r="E463" s="5" t="n">
        <v>1983</v>
      </c>
      <c r="F463" s="5" t="n">
        <v>13043</v>
      </c>
      <c r="G463" s="5" t="n">
        <v>319</v>
      </c>
      <c r="H463" s="10">
        <f>IF(E463&gt;0,G463/E463,"")</f>
        <v/>
      </c>
      <c r="I463" s="11">
        <f>IF(AND(F463&gt;0,G463&gt;0),F463/G463,"")</f>
        <v/>
      </c>
    </row>
    <row r="464">
      <c r="A464" s="4" t="inlineStr">
        <is>
          <t>416</t>
        </is>
      </c>
      <c r="B464" s="4" t="n">
        <v>4</v>
      </c>
      <c r="C464" s="4" t="inlineStr">
        <is>
          <t>mule deer</t>
        </is>
      </c>
      <c r="D464" s="4" t="n">
        <v>2024</v>
      </c>
      <c r="E464" s="5" t="n"/>
      <c r="F464" s="5" t="n"/>
      <c r="G464" s="5" t="n">
        <v>291</v>
      </c>
      <c r="H464" s="10">
        <f>IF(E464&gt;0,G464/E464,"")</f>
        <v/>
      </c>
      <c r="I464" s="11">
        <f>IF(AND(F464&gt;0,G464&gt;0),F464/G464,"")</f>
        <v/>
      </c>
    </row>
    <row r="465">
      <c r="A465" s="4" t="inlineStr">
        <is>
          <t>416</t>
        </is>
      </c>
      <c r="B465" s="4" t="n">
        <v>4</v>
      </c>
      <c r="C465" s="4" t="inlineStr">
        <is>
          <t>mule deer</t>
        </is>
      </c>
      <c r="D465" s="4" t="n">
        <v>2025</v>
      </c>
      <c r="E465" s="5" t="n">
        <v>1750</v>
      </c>
      <c r="F465" s="5" t="n">
        <v>13203</v>
      </c>
      <c r="G465" s="5" t="n">
        <v>267</v>
      </c>
      <c r="H465" s="10">
        <f>IF(E465&gt;0,G465/E465,"")</f>
        <v/>
      </c>
      <c r="I465" s="11">
        <f>IF(AND(F465&gt;0,G465&gt;0),F465/G465,"")</f>
        <v/>
      </c>
    </row>
    <row r="466">
      <c r="A466" s="4" t="inlineStr">
        <is>
          <t>417</t>
        </is>
      </c>
      <c r="B466" s="4" t="n">
        <v>4</v>
      </c>
      <c r="C466" s="4" t="inlineStr">
        <is>
          <t>mule deer</t>
        </is>
      </c>
      <c r="D466" s="4" t="n">
        <v>2021</v>
      </c>
      <c r="E466" s="5" t="n">
        <v>1161</v>
      </c>
      <c r="F466" s="5" t="n">
        <v>6617</v>
      </c>
      <c r="G466" s="5" t="n">
        <v>519</v>
      </c>
      <c r="H466" s="10">
        <f>IF(E466&gt;0,G466/E466,"")</f>
        <v/>
      </c>
      <c r="I466" s="11">
        <f>IF(AND(F466&gt;0,G466&gt;0),F466/G466,"")</f>
        <v/>
      </c>
    </row>
    <row r="467">
      <c r="A467" s="4" t="inlineStr">
        <is>
          <t>417</t>
        </is>
      </c>
      <c r="B467" s="4" t="n">
        <v>4</v>
      </c>
      <c r="C467" s="4" t="inlineStr">
        <is>
          <t>mule deer</t>
        </is>
      </c>
      <c r="D467" s="4" t="n">
        <v>2022</v>
      </c>
      <c r="E467" s="5" t="n"/>
      <c r="F467" s="5" t="n"/>
      <c r="G467" s="5" t="n">
        <v>339</v>
      </c>
      <c r="H467" s="10">
        <f>IF(E467&gt;0,G467/E467,"")</f>
        <v/>
      </c>
      <c r="I467" s="11">
        <f>IF(AND(F467&gt;0,G467&gt;0),F467/G467,"")</f>
        <v/>
      </c>
    </row>
    <row r="468">
      <c r="A468" s="4" t="inlineStr">
        <is>
          <t>417</t>
        </is>
      </c>
      <c r="B468" s="4" t="n">
        <v>4</v>
      </c>
      <c r="C468" s="4" t="inlineStr">
        <is>
          <t>mule deer</t>
        </is>
      </c>
      <c r="D468" s="4" t="n">
        <v>2023</v>
      </c>
      <c r="E468" s="5" t="n">
        <v>750</v>
      </c>
      <c r="F468" s="5" t="n">
        <v>4498</v>
      </c>
      <c r="G468" s="5" t="n">
        <v>262</v>
      </c>
      <c r="H468" s="10">
        <f>IF(E468&gt;0,G468/E468,"")</f>
        <v/>
      </c>
      <c r="I468" s="11">
        <f>IF(AND(F468&gt;0,G468&gt;0),F468/G468,"")</f>
        <v/>
      </c>
    </row>
    <row r="469">
      <c r="A469" s="4" t="inlineStr">
        <is>
          <t>417</t>
        </is>
      </c>
      <c r="B469" s="4" t="n">
        <v>4</v>
      </c>
      <c r="C469" s="4" t="inlineStr">
        <is>
          <t>mule deer</t>
        </is>
      </c>
      <c r="D469" s="4" t="n">
        <v>2024</v>
      </c>
      <c r="E469" s="5" t="n"/>
      <c r="F469" s="5" t="n"/>
      <c r="G469" s="5" t="n">
        <v>74</v>
      </c>
      <c r="H469" s="10">
        <f>IF(E469&gt;0,G469/E469,"")</f>
        <v/>
      </c>
      <c r="I469" s="11">
        <f>IF(AND(F469&gt;0,G469&gt;0),F469/G469,"")</f>
        <v/>
      </c>
    </row>
    <row r="470">
      <c r="A470" s="4" t="inlineStr">
        <is>
          <t>417</t>
        </is>
      </c>
      <c r="B470" s="4" t="n">
        <v>4</v>
      </c>
      <c r="C470" s="4" t="inlineStr">
        <is>
          <t>mule deer</t>
        </is>
      </c>
      <c r="D470" s="4" t="n">
        <v>2025</v>
      </c>
      <c r="E470" s="5" t="n">
        <v>253</v>
      </c>
      <c r="F470" s="5" t="n">
        <v>1366</v>
      </c>
      <c r="G470" s="5" t="n">
        <v>93</v>
      </c>
      <c r="H470" s="10">
        <f>IF(E470&gt;0,G470/E470,"")</f>
        <v/>
      </c>
      <c r="I470" s="11">
        <f>IF(AND(F470&gt;0,G470&gt;0),F470/G470,"")</f>
        <v/>
      </c>
    </row>
    <row r="471">
      <c r="A471" s="4" t="inlineStr">
        <is>
          <t>418</t>
        </is>
      </c>
      <c r="B471" s="4" t="n">
        <v>4</v>
      </c>
      <c r="C471" s="4" t="inlineStr">
        <is>
          <t>mule deer</t>
        </is>
      </c>
      <c r="D471" s="4" t="n">
        <v>2021</v>
      </c>
      <c r="E471" s="5" t="n">
        <v>541</v>
      </c>
      <c r="F471" s="5" t="n">
        <v>3602</v>
      </c>
      <c r="G471" s="5" t="n">
        <v>163</v>
      </c>
      <c r="H471" s="10">
        <f>IF(E471&gt;0,G471/E471,"")</f>
        <v/>
      </c>
      <c r="I471" s="11">
        <f>IF(AND(F471&gt;0,G471&gt;0),F471/G471,"")</f>
        <v/>
      </c>
    </row>
    <row r="472">
      <c r="A472" s="4" t="inlineStr">
        <is>
          <t>418</t>
        </is>
      </c>
      <c r="B472" s="4" t="n">
        <v>4</v>
      </c>
      <c r="C472" s="4" t="inlineStr">
        <is>
          <t>mule deer</t>
        </is>
      </c>
      <c r="D472" s="4" t="n">
        <v>2022</v>
      </c>
      <c r="E472" s="5" t="n"/>
      <c r="F472" s="5" t="n"/>
      <c r="G472" s="5" t="n">
        <v>97</v>
      </c>
      <c r="H472" s="10">
        <f>IF(E472&gt;0,G472/E472,"")</f>
        <v/>
      </c>
      <c r="I472" s="11">
        <f>IF(AND(F472&gt;0,G472&gt;0),F472/G472,"")</f>
        <v/>
      </c>
    </row>
    <row r="473">
      <c r="A473" s="4" t="inlineStr">
        <is>
          <t>418</t>
        </is>
      </c>
      <c r="B473" s="4" t="n">
        <v>4</v>
      </c>
      <c r="C473" s="4" t="inlineStr">
        <is>
          <t>mule deer</t>
        </is>
      </c>
      <c r="D473" s="4" t="n">
        <v>2023</v>
      </c>
      <c r="E473" s="5" t="n">
        <v>493</v>
      </c>
      <c r="F473" s="5" t="n">
        <v>2643</v>
      </c>
      <c r="G473" s="5" t="n">
        <v>105</v>
      </c>
      <c r="H473" s="10">
        <f>IF(E473&gt;0,G473/E473,"")</f>
        <v/>
      </c>
      <c r="I473" s="11">
        <f>IF(AND(F473&gt;0,G473&gt;0),F473/G473,"")</f>
        <v/>
      </c>
    </row>
    <row r="474">
      <c r="A474" s="4" t="inlineStr">
        <is>
          <t>418</t>
        </is>
      </c>
      <c r="B474" s="4" t="n">
        <v>4</v>
      </c>
      <c r="C474" s="4" t="inlineStr">
        <is>
          <t>mule deer</t>
        </is>
      </c>
      <c r="D474" s="4" t="n">
        <v>2024</v>
      </c>
      <c r="E474" s="5" t="n"/>
      <c r="F474" s="5" t="n"/>
      <c r="G474" s="5" t="n">
        <v>150</v>
      </c>
      <c r="H474" s="10">
        <f>IF(E474&gt;0,G474/E474,"")</f>
        <v/>
      </c>
      <c r="I474" s="11">
        <f>IF(AND(F474&gt;0,G474&gt;0),F474/G474,"")</f>
        <v/>
      </c>
    </row>
    <row r="475">
      <c r="A475" s="4" t="inlineStr">
        <is>
          <t>418</t>
        </is>
      </c>
      <c r="B475" s="4" t="n">
        <v>4</v>
      </c>
      <c r="C475" s="4" t="inlineStr">
        <is>
          <t>mule deer</t>
        </is>
      </c>
      <c r="D475" s="4" t="n">
        <v>2025</v>
      </c>
      <c r="E475" s="5" t="n">
        <v>495</v>
      </c>
      <c r="F475" s="5" t="n">
        <v>4579</v>
      </c>
      <c r="G475" s="5" t="n">
        <v>119</v>
      </c>
      <c r="H475" s="10">
        <f>IF(E475&gt;0,G475/E475,"")</f>
        <v/>
      </c>
      <c r="I475" s="11">
        <f>IF(AND(F475&gt;0,G475&gt;0),F475/G475,"")</f>
        <v/>
      </c>
    </row>
    <row r="476">
      <c r="A476" s="4" t="inlineStr">
        <is>
          <t>419</t>
        </is>
      </c>
      <c r="B476" s="4" t="n">
        <v>4</v>
      </c>
      <c r="C476" s="4" t="inlineStr">
        <is>
          <t>mule deer</t>
        </is>
      </c>
      <c r="D476" s="4" t="n">
        <v>2021</v>
      </c>
      <c r="E476" s="5" t="n">
        <v>561</v>
      </c>
      <c r="F476" s="5" t="n">
        <v>2567</v>
      </c>
      <c r="G476" s="5" t="n">
        <v>234</v>
      </c>
      <c r="H476" s="10">
        <f>IF(E476&gt;0,G476/E476,"")</f>
        <v/>
      </c>
      <c r="I476" s="11">
        <f>IF(AND(F476&gt;0,G476&gt;0),F476/G476,"")</f>
        <v/>
      </c>
    </row>
    <row r="477">
      <c r="A477" s="4" t="inlineStr">
        <is>
          <t>419</t>
        </is>
      </c>
      <c r="B477" s="4" t="n">
        <v>4</v>
      </c>
      <c r="C477" s="4" t="inlineStr">
        <is>
          <t>mule deer</t>
        </is>
      </c>
      <c r="D477" s="4" t="n">
        <v>2022</v>
      </c>
      <c r="E477" s="5" t="n"/>
      <c r="F477" s="5" t="n"/>
      <c r="G477" s="5" t="n">
        <v>242</v>
      </c>
      <c r="H477" s="10">
        <f>IF(E477&gt;0,G477/E477,"")</f>
        <v/>
      </c>
      <c r="I477" s="11">
        <f>IF(AND(F477&gt;0,G477&gt;0),F477/G477,"")</f>
        <v/>
      </c>
    </row>
    <row r="478">
      <c r="A478" s="4" t="inlineStr">
        <is>
          <t>419</t>
        </is>
      </c>
      <c r="B478" s="4" t="n">
        <v>4</v>
      </c>
      <c r="C478" s="4" t="inlineStr">
        <is>
          <t>mule deer</t>
        </is>
      </c>
      <c r="D478" s="4" t="n">
        <v>2023</v>
      </c>
      <c r="E478" s="5" t="n">
        <v>648</v>
      </c>
      <c r="F478" s="5" t="n">
        <v>3354</v>
      </c>
      <c r="G478" s="5" t="n">
        <v>255</v>
      </c>
      <c r="H478" s="10">
        <f>IF(E478&gt;0,G478/E478,"")</f>
        <v/>
      </c>
      <c r="I478" s="11">
        <f>IF(AND(F478&gt;0,G478&gt;0),F478/G478,"")</f>
        <v/>
      </c>
    </row>
    <row r="479">
      <c r="A479" s="4" t="inlineStr">
        <is>
          <t>419</t>
        </is>
      </c>
      <c r="B479" s="4" t="n">
        <v>4</v>
      </c>
      <c r="C479" s="4" t="inlineStr">
        <is>
          <t>mule deer</t>
        </is>
      </c>
      <c r="D479" s="4" t="n">
        <v>2024</v>
      </c>
      <c r="E479" s="5" t="n"/>
      <c r="F479" s="5" t="n"/>
      <c r="G479" s="5" t="n">
        <v>316</v>
      </c>
      <c r="H479" s="10">
        <f>IF(E479&gt;0,G479/E479,"")</f>
        <v/>
      </c>
      <c r="I479" s="11">
        <f>IF(AND(F479&gt;0,G479&gt;0),F479/G479,"")</f>
        <v/>
      </c>
    </row>
    <row r="480">
      <c r="A480" s="4" t="inlineStr">
        <is>
          <t>419</t>
        </is>
      </c>
      <c r="B480" s="4" t="n">
        <v>4</v>
      </c>
      <c r="C480" s="4" t="inlineStr">
        <is>
          <t>mule deer</t>
        </is>
      </c>
      <c r="D480" s="4" t="n">
        <v>2025</v>
      </c>
      <c r="E480" s="5" t="n">
        <v>861</v>
      </c>
      <c r="F480" s="5" t="n">
        <v>4469</v>
      </c>
      <c r="G480" s="5" t="n">
        <v>278</v>
      </c>
      <c r="H480" s="10">
        <f>IF(E480&gt;0,G480/E480,"")</f>
        <v/>
      </c>
      <c r="I480" s="11">
        <f>IF(AND(F480&gt;0,G480&gt;0),F480/G480,"")</f>
        <v/>
      </c>
    </row>
    <row r="481">
      <c r="A481" s="4" t="inlineStr">
        <is>
          <t>420</t>
        </is>
      </c>
      <c r="B481" s="4" t="n">
        <v>4</v>
      </c>
      <c r="C481" s="4" t="inlineStr">
        <is>
          <t>mule deer</t>
        </is>
      </c>
      <c r="D481" s="4" t="n">
        <v>2021</v>
      </c>
      <c r="E481" s="5" t="n">
        <v>300</v>
      </c>
      <c r="F481" s="5" t="n">
        <v>1981</v>
      </c>
      <c r="G481" s="5" t="n">
        <v>81</v>
      </c>
      <c r="H481" s="10">
        <f>IF(E481&gt;0,G481/E481,"")</f>
        <v/>
      </c>
      <c r="I481" s="11">
        <f>IF(AND(F481&gt;0,G481&gt;0),F481/G481,"")</f>
        <v/>
      </c>
    </row>
    <row r="482">
      <c r="A482" s="4" t="inlineStr">
        <is>
          <t>420</t>
        </is>
      </c>
      <c r="B482" s="4" t="n">
        <v>4</v>
      </c>
      <c r="C482" s="4" t="inlineStr">
        <is>
          <t>mule deer</t>
        </is>
      </c>
      <c r="D482" s="4" t="n">
        <v>2022</v>
      </c>
      <c r="E482" s="5" t="n"/>
      <c r="F482" s="5" t="n"/>
      <c r="G482" s="5" t="n">
        <v>40</v>
      </c>
      <c r="H482" s="10">
        <f>IF(E482&gt;0,G482/E482,"")</f>
        <v/>
      </c>
      <c r="I482" s="11">
        <f>IF(AND(F482&gt;0,G482&gt;0),F482/G482,"")</f>
        <v/>
      </c>
    </row>
    <row r="483">
      <c r="A483" s="4" t="inlineStr">
        <is>
          <t>420</t>
        </is>
      </c>
      <c r="B483" s="4" t="n">
        <v>4</v>
      </c>
      <c r="C483" s="4" t="inlineStr">
        <is>
          <t>mule deer</t>
        </is>
      </c>
      <c r="D483" s="4" t="n">
        <v>2023</v>
      </c>
      <c r="E483" s="5" t="n">
        <v>332</v>
      </c>
      <c r="F483" s="5" t="n">
        <v>1921</v>
      </c>
      <c r="G483" s="5" t="n">
        <v>66</v>
      </c>
      <c r="H483" s="10">
        <f>IF(E483&gt;0,G483/E483,"")</f>
        <v/>
      </c>
      <c r="I483" s="11">
        <f>IF(AND(F483&gt;0,G483&gt;0),F483/G483,"")</f>
        <v/>
      </c>
    </row>
    <row r="484">
      <c r="A484" s="4" t="inlineStr">
        <is>
          <t>420</t>
        </is>
      </c>
      <c r="B484" s="4" t="n">
        <v>4</v>
      </c>
      <c r="C484" s="4" t="inlineStr">
        <is>
          <t>mule deer</t>
        </is>
      </c>
      <c r="D484" s="4" t="n">
        <v>2024</v>
      </c>
      <c r="E484" s="5" t="n"/>
      <c r="F484" s="5" t="n"/>
      <c r="G484" s="5" t="n">
        <v>71</v>
      </c>
      <c r="H484" s="10">
        <f>IF(E484&gt;0,G484/E484,"")</f>
        <v/>
      </c>
      <c r="I484" s="11">
        <f>IF(AND(F484&gt;0,G484&gt;0),F484/G484,"")</f>
        <v/>
      </c>
    </row>
    <row r="485">
      <c r="A485" s="4" t="inlineStr">
        <is>
          <t>420</t>
        </is>
      </c>
      <c r="B485" s="4" t="n">
        <v>4</v>
      </c>
      <c r="C485" s="4" t="inlineStr">
        <is>
          <t>mule deer</t>
        </is>
      </c>
      <c r="D485" s="4" t="n">
        <v>2025</v>
      </c>
      <c r="E485" s="5" t="n">
        <v>382</v>
      </c>
      <c r="F485" s="5" t="n">
        <v>2558</v>
      </c>
      <c r="G485" s="5" t="n">
        <v>78</v>
      </c>
      <c r="H485" s="10">
        <f>IF(E485&gt;0,G485/E485,"")</f>
        <v/>
      </c>
      <c r="I485" s="11">
        <f>IF(AND(F485&gt;0,G485&gt;0),F485/G485,"")</f>
        <v/>
      </c>
    </row>
    <row r="486">
      <c r="A486" s="4" t="inlineStr">
        <is>
          <t>421</t>
        </is>
      </c>
      <c r="B486" s="4" t="n">
        <v>4</v>
      </c>
      <c r="C486" s="4" t="inlineStr">
        <is>
          <t>mule deer</t>
        </is>
      </c>
      <c r="D486" s="4" t="n">
        <v>2021</v>
      </c>
      <c r="E486" s="5" t="n">
        <v>741</v>
      </c>
      <c r="F486" s="5" t="n">
        <v>3178</v>
      </c>
      <c r="G486" s="5" t="n">
        <v>185</v>
      </c>
      <c r="H486" s="10">
        <f>IF(E486&gt;0,G486/E486,"")</f>
        <v/>
      </c>
      <c r="I486" s="11">
        <f>IF(AND(F486&gt;0,G486&gt;0),F486/G486,"")</f>
        <v/>
      </c>
    </row>
    <row r="487">
      <c r="A487" s="4" t="inlineStr">
        <is>
          <t>421</t>
        </is>
      </c>
      <c r="B487" s="4" t="n">
        <v>4</v>
      </c>
      <c r="C487" s="4" t="inlineStr">
        <is>
          <t>mule deer</t>
        </is>
      </c>
      <c r="D487" s="4" t="n">
        <v>2022</v>
      </c>
      <c r="E487" s="5" t="n"/>
      <c r="F487" s="5" t="n"/>
      <c r="G487" s="5" t="n">
        <v>296</v>
      </c>
      <c r="H487" s="10">
        <f>IF(E487&gt;0,G487/E487,"")</f>
        <v/>
      </c>
      <c r="I487" s="11">
        <f>IF(AND(F487&gt;0,G487&gt;0),F487/G487,"")</f>
        <v/>
      </c>
    </row>
    <row r="488">
      <c r="A488" s="4" t="inlineStr">
        <is>
          <t>421</t>
        </is>
      </c>
      <c r="B488" s="4" t="n">
        <v>4</v>
      </c>
      <c r="C488" s="4" t="inlineStr">
        <is>
          <t>mule deer</t>
        </is>
      </c>
      <c r="D488" s="4" t="n">
        <v>2023</v>
      </c>
      <c r="E488" s="5" t="n">
        <v>1313</v>
      </c>
      <c r="F488" s="5" t="n">
        <v>7340</v>
      </c>
      <c r="G488" s="5" t="n">
        <v>370</v>
      </c>
      <c r="H488" s="10">
        <f>IF(E488&gt;0,G488/E488,"")</f>
        <v/>
      </c>
      <c r="I488" s="11">
        <f>IF(AND(F488&gt;0,G488&gt;0),F488/G488,"")</f>
        <v/>
      </c>
    </row>
    <row r="489">
      <c r="A489" s="4" t="inlineStr">
        <is>
          <t>421</t>
        </is>
      </c>
      <c r="B489" s="4" t="n">
        <v>4</v>
      </c>
      <c r="C489" s="4" t="inlineStr">
        <is>
          <t>mule deer</t>
        </is>
      </c>
      <c r="D489" s="4" t="n">
        <v>2024</v>
      </c>
      <c r="E489" s="5" t="n"/>
      <c r="F489" s="5" t="n"/>
      <c r="G489" s="5" t="n">
        <v>413</v>
      </c>
      <c r="H489" s="10">
        <f>IF(E489&gt;0,G489/E489,"")</f>
        <v/>
      </c>
      <c r="I489" s="11">
        <f>IF(AND(F489&gt;0,G489&gt;0),F489/G489,"")</f>
        <v/>
      </c>
    </row>
    <row r="490">
      <c r="A490" s="4" t="inlineStr">
        <is>
          <t>421</t>
        </is>
      </c>
      <c r="B490" s="4" t="n">
        <v>4</v>
      </c>
      <c r="C490" s="4" t="inlineStr">
        <is>
          <t>mule deer</t>
        </is>
      </c>
      <c r="D490" s="4" t="n">
        <v>2025</v>
      </c>
      <c r="E490" s="5" t="n">
        <v>1325</v>
      </c>
      <c r="F490" s="5" t="n">
        <v>7802</v>
      </c>
      <c r="G490" s="5" t="n">
        <v>403</v>
      </c>
      <c r="H490" s="10">
        <f>IF(E490&gt;0,G490/E490,"")</f>
        <v/>
      </c>
      <c r="I490" s="11">
        <f>IF(AND(F490&gt;0,G490&gt;0),F490/G490,"")</f>
        <v/>
      </c>
    </row>
    <row r="491">
      <c r="A491" s="4" t="inlineStr">
        <is>
          <t>422</t>
        </is>
      </c>
      <c r="B491" s="4" t="n">
        <v>4</v>
      </c>
      <c r="C491" s="4" t="inlineStr">
        <is>
          <t>mule deer</t>
        </is>
      </c>
      <c r="D491" s="4" t="n">
        <v>2021</v>
      </c>
      <c r="E491" s="5" t="n">
        <v>462</v>
      </c>
      <c r="F491" s="5" t="n">
        <v>2469</v>
      </c>
      <c r="G491" s="5" t="n">
        <v>91</v>
      </c>
      <c r="H491" s="10">
        <f>IF(E491&gt;0,G491/E491,"")</f>
        <v/>
      </c>
      <c r="I491" s="11">
        <f>IF(AND(F491&gt;0,G491&gt;0),F491/G491,"")</f>
        <v/>
      </c>
    </row>
    <row r="492">
      <c r="A492" s="4" t="inlineStr">
        <is>
          <t>422</t>
        </is>
      </c>
      <c r="B492" s="4" t="n">
        <v>4</v>
      </c>
      <c r="C492" s="4" t="inlineStr">
        <is>
          <t>mule deer</t>
        </is>
      </c>
      <c r="D492" s="4" t="n">
        <v>2022</v>
      </c>
      <c r="E492" s="5" t="n"/>
      <c r="F492" s="5" t="n"/>
      <c r="G492" s="5" t="n">
        <v>80</v>
      </c>
      <c r="H492" s="10">
        <f>IF(E492&gt;0,G492/E492,"")</f>
        <v/>
      </c>
      <c r="I492" s="11">
        <f>IF(AND(F492&gt;0,G492&gt;0),F492/G492,"")</f>
        <v/>
      </c>
    </row>
    <row r="493">
      <c r="A493" s="4" t="inlineStr">
        <is>
          <t>422</t>
        </is>
      </c>
      <c r="B493" s="4" t="n">
        <v>4</v>
      </c>
      <c r="C493" s="4" t="inlineStr">
        <is>
          <t>mule deer</t>
        </is>
      </c>
      <c r="D493" s="4" t="n">
        <v>2023</v>
      </c>
      <c r="E493" s="5" t="n">
        <v>597</v>
      </c>
      <c r="F493" s="5" t="n">
        <v>3396</v>
      </c>
      <c r="G493" s="5" t="n">
        <v>141</v>
      </c>
      <c r="H493" s="10">
        <f>IF(E493&gt;0,G493/E493,"")</f>
        <v/>
      </c>
      <c r="I493" s="11">
        <f>IF(AND(F493&gt;0,G493&gt;0),F493/G493,"")</f>
        <v/>
      </c>
    </row>
    <row r="494">
      <c r="A494" s="4" t="inlineStr">
        <is>
          <t>422</t>
        </is>
      </c>
      <c r="B494" s="4" t="n">
        <v>4</v>
      </c>
      <c r="C494" s="4" t="inlineStr">
        <is>
          <t>mule deer</t>
        </is>
      </c>
      <c r="D494" s="4" t="n">
        <v>2024</v>
      </c>
      <c r="E494" s="5" t="n"/>
      <c r="F494" s="5" t="n"/>
      <c r="G494" s="5" t="n">
        <v>136</v>
      </c>
      <c r="H494" s="10">
        <f>IF(E494&gt;0,G494/E494,"")</f>
        <v/>
      </c>
      <c r="I494" s="11">
        <f>IF(AND(F494&gt;0,G494&gt;0),F494/G494,"")</f>
        <v/>
      </c>
    </row>
    <row r="495">
      <c r="A495" s="4" t="inlineStr">
        <is>
          <t>422</t>
        </is>
      </c>
      <c r="B495" s="4" t="n">
        <v>4</v>
      </c>
      <c r="C495" s="4" t="inlineStr">
        <is>
          <t>mule deer</t>
        </is>
      </c>
      <c r="D495" s="4" t="n">
        <v>2025</v>
      </c>
      <c r="E495" s="5" t="n">
        <v>714</v>
      </c>
      <c r="F495" s="5" t="n">
        <v>4040</v>
      </c>
      <c r="G495" s="5" t="n">
        <v>119</v>
      </c>
      <c r="H495" s="10">
        <f>IF(E495&gt;0,G495/E495,"")</f>
        <v/>
      </c>
      <c r="I495" s="11">
        <f>IF(AND(F495&gt;0,G495&gt;0),F495/G495,"")</f>
        <v/>
      </c>
    </row>
    <row r="496">
      <c r="A496" s="4" t="inlineStr">
        <is>
          <t>423</t>
        </is>
      </c>
      <c r="B496" s="4" t="n">
        <v>4</v>
      </c>
      <c r="C496" s="4" t="inlineStr">
        <is>
          <t>mule deer</t>
        </is>
      </c>
      <c r="D496" s="4" t="n">
        <v>2021</v>
      </c>
      <c r="E496" s="5" t="n">
        <v>378</v>
      </c>
      <c r="F496" s="5" t="n">
        <v>1731</v>
      </c>
      <c r="G496" s="5" t="n">
        <v>121</v>
      </c>
      <c r="H496" s="10">
        <f>IF(E496&gt;0,G496/E496,"")</f>
        <v/>
      </c>
      <c r="I496" s="11">
        <f>IF(AND(F496&gt;0,G496&gt;0),F496/G496,"")</f>
        <v/>
      </c>
    </row>
    <row r="497">
      <c r="A497" s="4" t="inlineStr">
        <is>
          <t>424</t>
        </is>
      </c>
      <c r="B497" s="4" t="n">
        <v>4</v>
      </c>
      <c r="C497" s="4" t="inlineStr">
        <is>
          <t>mule deer</t>
        </is>
      </c>
      <c r="D497" s="4" t="n">
        <v>2021</v>
      </c>
      <c r="E497" s="5" t="n">
        <v>175</v>
      </c>
      <c r="F497" s="5" t="n">
        <v>1273</v>
      </c>
      <c r="G497" s="5" t="n">
        <v>11</v>
      </c>
      <c r="H497" s="10">
        <f>IF(E497&gt;0,G497/E497,"")</f>
        <v/>
      </c>
      <c r="I497" s="11">
        <f>IF(AND(F497&gt;0,G497&gt;0),F497/G497,"")</f>
        <v/>
      </c>
    </row>
    <row r="498">
      <c r="A498" s="4" t="inlineStr">
        <is>
          <t>424</t>
        </is>
      </c>
      <c r="B498" s="4" t="n">
        <v>4</v>
      </c>
      <c r="C498" s="4" t="inlineStr">
        <is>
          <t>mule deer</t>
        </is>
      </c>
      <c r="D498" s="4" t="n">
        <v>2022</v>
      </c>
      <c r="E498" s="5" t="n"/>
      <c r="F498" s="5" t="n"/>
      <c r="G498" s="5" t="n">
        <v>29</v>
      </c>
      <c r="H498" s="10">
        <f>IF(E498&gt;0,G498/E498,"")</f>
        <v/>
      </c>
      <c r="I498" s="11">
        <f>IF(AND(F498&gt;0,G498&gt;0),F498/G498,"")</f>
        <v/>
      </c>
    </row>
    <row r="499">
      <c r="A499" s="4" t="inlineStr">
        <is>
          <t>424</t>
        </is>
      </c>
      <c r="B499" s="4" t="n">
        <v>4</v>
      </c>
      <c r="C499" s="4" t="inlineStr">
        <is>
          <t>mule deer</t>
        </is>
      </c>
      <c r="D499" s="4" t="n">
        <v>2023</v>
      </c>
      <c r="E499" s="5" t="n">
        <v>168</v>
      </c>
      <c r="F499" s="5" t="n">
        <v>861</v>
      </c>
      <c r="G499" s="5" t="n">
        <v>32</v>
      </c>
      <c r="H499" s="10">
        <f>IF(E499&gt;0,G499/E499,"")</f>
        <v/>
      </c>
      <c r="I499" s="11">
        <f>IF(AND(F499&gt;0,G499&gt;0),F499/G499,"")</f>
        <v/>
      </c>
    </row>
    <row r="500">
      <c r="A500" s="4" t="inlineStr">
        <is>
          <t>424</t>
        </is>
      </c>
      <c r="B500" s="4" t="n">
        <v>4</v>
      </c>
      <c r="C500" s="4" t="inlineStr">
        <is>
          <t>mule deer</t>
        </is>
      </c>
      <c r="D500" s="4" t="n">
        <v>2024</v>
      </c>
      <c r="E500" s="5" t="n"/>
      <c r="F500" s="5" t="n"/>
      <c r="G500" s="5" t="n">
        <v>36</v>
      </c>
      <c r="H500" s="10">
        <f>IF(E500&gt;0,G500/E500,"")</f>
        <v/>
      </c>
      <c r="I500" s="11">
        <f>IF(AND(F500&gt;0,G500&gt;0),F500/G500,"")</f>
        <v/>
      </c>
    </row>
    <row r="501">
      <c r="A501" s="4" t="inlineStr">
        <is>
          <t>424</t>
        </is>
      </c>
      <c r="B501" s="4" t="n">
        <v>4</v>
      </c>
      <c r="C501" s="4" t="inlineStr">
        <is>
          <t>mule deer</t>
        </is>
      </c>
      <c r="D501" s="4" t="n">
        <v>2025</v>
      </c>
      <c r="E501" s="5" t="n">
        <v>217</v>
      </c>
      <c r="F501" s="5" t="n">
        <v>1328</v>
      </c>
      <c r="G501" s="5" t="n">
        <v>37</v>
      </c>
      <c r="H501" s="10">
        <f>IF(E501&gt;0,G501/E501,"")</f>
        <v/>
      </c>
      <c r="I501" s="11">
        <f>IF(AND(F501&gt;0,G501&gt;0),F501/G501,"")</f>
        <v/>
      </c>
    </row>
    <row r="502">
      <c r="A502" s="4" t="inlineStr">
        <is>
          <t>425</t>
        </is>
      </c>
      <c r="B502" s="4" t="n">
        <v>4</v>
      </c>
      <c r="C502" s="4" t="inlineStr">
        <is>
          <t>mule deer</t>
        </is>
      </c>
      <c r="D502" s="4" t="n">
        <v>2021</v>
      </c>
      <c r="E502" s="5" t="n">
        <v>487</v>
      </c>
      <c r="F502" s="5" t="n">
        <v>3082</v>
      </c>
      <c r="G502" s="5" t="n">
        <v>76</v>
      </c>
      <c r="H502" s="10">
        <f>IF(E502&gt;0,G502/E502,"")</f>
        <v/>
      </c>
      <c r="I502" s="11">
        <f>IF(AND(F502&gt;0,G502&gt;0),F502/G502,"")</f>
        <v/>
      </c>
    </row>
    <row r="503">
      <c r="A503" s="4" t="inlineStr">
        <is>
          <t>425</t>
        </is>
      </c>
      <c r="B503" s="4" t="n">
        <v>4</v>
      </c>
      <c r="C503" s="4" t="inlineStr">
        <is>
          <t>mule deer</t>
        </is>
      </c>
      <c r="D503" s="4" t="n">
        <v>2022</v>
      </c>
      <c r="E503" s="5" t="n"/>
      <c r="F503" s="5" t="n"/>
      <c r="G503" s="5" t="n">
        <v>99</v>
      </c>
      <c r="H503" s="10">
        <f>IF(E503&gt;0,G503/E503,"")</f>
        <v/>
      </c>
      <c r="I503" s="11">
        <f>IF(AND(F503&gt;0,G503&gt;0),F503/G503,"")</f>
        <v/>
      </c>
    </row>
    <row r="504">
      <c r="A504" s="4" t="inlineStr">
        <is>
          <t>425</t>
        </is>
      </c>
      <c r="B504" s="4" t="n">
        <v>4</v>
      </c>
      <c r="C504" s="4" t="inlineStr">
        <is>
          <t>mule deer</t>
        </is>
      </c>
      <c r="D504" s="4" t="n">
        <v>2023</v>
      </c>
      <c r="E504" s="5" t="n">
        <v>534</v>
      </c>
      <c r="F504" s="5" t="n">
        <v>2688</v>
      </c>
      <c r="G504" s="5" t="n">
        <v>148</v>
      </c>
      <c r="H504" s="10">
        <f>IF(E504&gt;0,G504/E504,"")</f>
        <v/>
      </c>
      <c r="I504" s="11">
        <f>IF(AND(F504&gt;0,G504&gt;0),F504/G504,"")</f>
        <v/>
      </c>
    </row>
    <row r="505">
      <c r="A505" s="4" t="inlineStr">
        <is>
          <t>425</t>
        </is>
      </c>
      <c r="B505" s="4" t="n">
        <v>4</v>
      </c>
      <c r="C505" s="4" t="inlineStr">
        <is>
          <t>mule deer</t>
        </is>
      </c>
      <c r="D505" s="4" t="n">
        <v>2024</v>
      </c>
      <c r="E505" s="5" t="n"/>
      <c r="F505" s="5" t="n"/>
      <c r="G505" s="5" t="n">
        <v>130</v>
      </c>
      <c r="H505" s="10">
        <f>IF(E505&gt;0,G505/E505,"")</f>
        <v/>
      </c>
      <c r="I505" s="11">
        <f>IF(AND(F505&gt;0,G505&gt;0),F505/G505,"")</f>
        <v/>
      </c>
    </row>
    <row r="506">
      <c r="A506" s="4" t="inlineStr">
        <is>
          <t>425</t>
        </is>
      </c>
      <c r="B506" s="4" t="n">
        <v>4</v>
      </c>
      <c r="C506" s="4" t="inlineStr">
        <is>
          <t>mule deer</t>
        </is>
      </c>
      <c r="D506" s="4" t="n">
        <v>2025</v>
      </c>
      <c r="E506" s="5" t="n">
        <v>531</v>
      </c>
      <c r="F506" s="5" t="n">
        <v>3020</v>
      </c>
      <c r="G506" s="5" t="n">
        <v>89</v>
      </c>
      <c r="H506" s="10">
        <f>IF(E506&gt;0,G506/E506,"")</f>
        <v/>
      </c>
      <c r="I506" s="11">
        <f>IF(AND(F506&gt;0,G506&gt;0),F506/G506,"")</f>
        <v/>
      </c>
    </row>
    <row r="507">
      <c r="A507" s="4" t="inlineStr">
        <is>
          <t>426</t>
        </is>
      </c>
      <c r="B507" s="4" t="n">
        <v>4</v>
      </c>
      <c r="C507" s="4" t="inlineStr">
        <is>
          <t>mule deer</t>
        </is>
      </c>
      <c r="D507" s="4" t="n">
        <v>2021</v>
      </c>
      <c r="E507" s="5" t="n">
        <v>1419</v>
      </c>
      <c r="F507" s="5" t="n">
        <v>6958</v>
      </c>
      <c r="G507" s="5" t="n">
        <v>725</v>
      </c>
      <c r="H507" s="10">
        <f>IF(E507&gt;0,G507/E507,"")</f>
        <v/>
      </c>
      <c r="I507" s="11">
        <f>IF(AND(F507&gt;0,G507&gt;0),F507/G507,"")</f>
        <v/>
      </c>
    </row>
    <row r="508">
      <c r="A508" s="4" t="inlineStr">
        <is>
          <t>426</t>
        </is>
      </c>
      <c r="B508" s="4" t="n">
        <v>4</v>
      </c>
      <c r="C508" s="4" t="inlineStr">
        <is>
          <t>mule deer</t>
        </is>
      </c>
      <c r="D508" s="4" t="n">
        <v>2022</v>
      </c>
      <c r="E508" s="5" t="n"/>
      <c r="F508" s="5" t="n"/>
      <c r="G508" s="5" t="n">
        <v>556</v>
      </c>
      <c r="H508" s="10">
        <f>IF(E508&gt;0,G508/E508,"")</f>
        <v/>
      </c>
      <c r="I508" s="11">
        <f>IF(AND(F508&gt;0,G508&gt;0),F508/G508,"")</f>
        <v/>
      </c>
    </row>
    <row r="509">
      <c r="A509" s="4" t="inlineStr">
        <is>
          <t>426</t>
        </is>
      </c>
      <c r="B509" s="4" t="n">
        <v>4</v>
      </c>
      <c r="C509" s="4" t="inlineStr">
        <is>
          <t>mule deer</t>
        </is>
      </c>
      <c r="D509" s="4" t="n">
        <v>2023</v>
      </c>
      <c r="E509" s="5" t="n">
        <v>1038</v>
      </c>
      <c r="F509" s="5" t="n">
        <v>4844</v>
      </c>
      <c r="G509" s="5" t="n">
        <v>519</v>
      </c>
      <c r="H509" s="10">
        <f>IF(E509&gt;0,G509/E509,"")</f>
        <v/>
      </c>
      <c r="I509" s="11">
        <f>IF(AND(F509&gt;0,G509&gt;0),F509/G509,"")</f>
        <v/>
      </c>
    </row>
    <row r="510">
      <c r="A510" s="4" t="inlineStr">
        <is>
          <t>426</t>
        </is>
      </c>
      <c r="B510" s="4" t="n">
        <v>4</v>
      </c>
      <c r="C510" s="4" t="inlineStr">
        <is>
          <t>mule deer</t>
        </is>
      </c>
      <c r="D510" s="4" t="n">
        <v>2024</v>
      </c>
      <c r="E510" s="5" t="n"/>
      <c r="F510" s="5" t="n"/>
      <c r="G510" s="5" t="n">
        <v>498</v>
      </c>
      <c r="H510" s="10">
        <f>IF(E510&gt;0,G510/E510,"")</f>
        <v/>
      </c>
      <c r="I510" s="11">
        <f>IF(AND(F510&gt;0,G510&gt;0),F510/G510,"")</f>
        <v/>
      </c>
    </row>
    <row r="511">
      <c r="A511" s="4" t="inlineStr">
        <is>
          <t>426</t>
        </is>
      </c>
      <c r="B511" s="4" t="n">
        <v>4</v>
      </c>
      <c r="C511" s="4" t="inlineStr">
        <is>
          <t>mule deer</t>
        </is>
      </c>
      <c r="D511" s="4" t="n">
        <v>2025</v>
      </c>
      <c r="E511" s="5" t="n">
        <v>835</v>
      </c>
      <c r="F511" s="5" t="n">
        <v>4337</v>
      </c>
      <c r="G511" s="5" t="n">
        <v>335</v>
      </c>
      <c r="H511" s="10">
        <f>IF(E511&gt;0,G511/E511,"")</f>
        <v/>
      </c>
      <c r="I511" s="11">
        <f>IF(AND(F511&gt;0,G511&gt;0),F511/G511,"")</f>
        <v/>
      </c>
    </row>
    <row r="512">
      <c r="A512" s="4" t="inlineStr">
        <is>
          <t>432</t>
        </is>
      </c>
      <c r="B512" s="4" t="n">
        <v>4</v>
      </c>
      <c r="C512" s="4" t="inlineStr">
        <is>
          <t>mule deer</t>
        </is>
      </c>
      <c r="D512" s="4" t="n">
        <v>2021</v>
      </c>
      <c r="E512" s="5" t="n">
        <v>691</v>
      </c>
      <c r="F512" s="5" t="n">
        <v>3436</v>
      </c>
      <c r="G512" s="5" t="n">
        <v>208</v>
      </c>
      <c r="H512" s="10">
        <f>IF(E512&gt;0,G512/E512,"")</f>
        <v/>
      </c>
      <c r="I512" s="11">
        <f>IF(AND(F512&gt;0,G512&gt;0),F512/G512,"")</f>
        <v/>
      </c>
    </row>
    <row r="513">
      <c r="A513" s="4" t="inlineStr">
        <is>
          <t>441</t>
        </is>
      </c>
      <c r="B513" s="4" t="n">
        <v>4</v>
      </c>
      <c r="C513" s="4" t="inlineStr">
        <is>
          <t>mule deer</t>
        </is>
      </c>
      <c r="D513" s="4" t="n">
        <v>2021</v>
      </c>
      <c r="E513" s="5" t="n">
        <v>526</v>
      </c>
      <c r="F513" s="5" t="n">
        <v>3273</v>
      </c>
      <c r="G513" s="5" t="n">
        <v>77</v>
      </c>
      <c r="H513" s="10">
        <f>IF(E513&gt;0,G513/E513,"")</f>
        <v/>
      </c>
      <c r="I513" s="11">
        <f>IF(AND(F513&gt;0,G513&gt;0),F513/G513,"")</f>
        <v/>
      </c>
    </row>
    <row r="514">
      <c r="A514" s="4" t="inlineStr">
        <is>
          <t>441</t>
        </is>
      </c>
      <c r="B514" s="4" t="n">
        <v>4</v>
      </c>
      <c r="C514" s="4" t="inlineStr">
        <is>
          <t>mule deer</t>
        </is>
      </c>
      <c r="D514" s="4" t="n">
        <v>2022</v>
      </c>
      <c r="E514" s="5" t="n"/>
      <c r="F514" s="5" t="n"/>
      <c r="G514" s="5" t="n">
        <v>71</v>
      </c>
      <c r="H514" s="10">
        <f>IF(E514&gt;0,G514/E514,"")</f>
        <v/>
      </c>
      <c r="I514" s="11">
        <f>IF(AND(F514&gt;0,G514&gt;0),F514/G514,"")</f>
        <v/>
      </c>
    </row>
    <row r="515">
      <c r="A515" s="4" t="inlineStr">
        <is>
          <t>441</t>
        </is>
      </c>
      <c r="B515" s="4" t="n">
        <v>4</v>
      </c>
      <c r="C515" s="4" t="inlineStr">
        <is>
          <t>mule deer</t>
        </is>
      </c>
      <c r="D515" s="4" t="n">
        <v>2023</v>
      </c>
      <c r="E515" s="5" t="n">
        <v>631</v>
      </c>
      <c r="F515" s="5" t="n">
        <v>3567</v>
      </c>
      <c r="G515" s="5" t="n">
        <v>147</v>
      </c>
      <c r="H515" s="10">
        <f>IF(E515&gt;0,G515/E515,"")</f>
        <v/>
      </c>
      <c r="I515" s="11">
        <f>IF(AND(F515&gt;0,G515&gt;0),F515/G515,"")</f>
        <v/>
      </c>
    </row>
    <row r="516">
      <c r="A516" s="4" t="inlineStr">
        <is>
          <t>441</t>
        </is>
      </c>
      <c r="B516" s="4" t="n">
        <v>4</v>
      </c>
      <c r="C516" s="4" t="inlineStr">
        <is>
          <t>mule deer</t>
        </is>
      </c>
      <c r="D516" s="4" t="n">
        <v>2024</v>
      </c>
      <c r="E516" s="5" t="n"/>
      <c r="F516" s="5" t="n"/>
      <c r="G516" s="5" t="n">
        <v>125</v>
      </c>
      <c r="H516" s="10">
        <f>IF(E516&gt;0,G516/E516,"")</f>
        <v/>
      </c>
      <c r="I516" s="11">
        <f>IF(AND(F516&gt;0,G516&gt;0),F516/G516,"")</f>
        <v/>
      </c>
    </row>
    <row r="517">
      <c r="A517" s="4" t="inlineStr">
        <is>
          <t>441</t>
        </is>
      </c>
      <c r="B517" s="4" t="n">
        <v>4</v>
      </c>
      <c r="C517" s="4" t="inlineStr">
        <is>
          <t>mule deer</t>
        </is>
      </c>
      <c r="D517" s="4" t="n">
        <v>2025</v>
      </c>
      <c r="E517" s="5" t="n">
        <v>532</v>
      </c>
      <c r="F517" s="5" t="n">
        <v>3236</v>
      </c>
      <c r="G517" s="5" t="n">
        <v>99</v>
      </c>
      <c r="H517" s="10">
        <f>IF(E517&gt;0,G517/E517,"")</f>
        <v/>
      </c>
      <c r="I517" s="11">
        <f>IF(AND(F517&gt;0,G517&gt;0),F517/G517,"")</f>
        <v/>
      </c>
    </row>
    <row r="518">
      <c r="A518" s="4" t="inlineStr">
        <is>
          <t>442</t>
        </is>
      </c>
      <c r="B518" s="4" t="n">
        <v>4</v>
      </c>
      <c r="C518" s="4" t="inlineStr">
        <is>
          <t>mule deer</t>
        </is>
      </c>
      <c r="D518" s="4" t="n">
        <v>2021</v>
      </c>
      <c r="E518" s="5" t="n">
        <v>498</v>
      </c>
      <c r="F518" s="5" t="n">
        <v>2747</v>
      </c>
      <c r="G518" s="5" t="n">
        <v>51</v>
      </c>
      <c r="H518" s="10">
        <f>IF(E518&gt;0,G518/E518,"")</f>
        <v/>
      </c>
      <c r="I518" s="11">
        <f>IF(AND(F518&gt;0,G518&gt;0),F518/G518,"")</f>
        <v/>
      </c>
    </row>
    <row r="519">
      <c r="A519" s="4" t="inlineStr">
        <is>
          <t>442</t>
        </is>
      </c>
      <c r="B519" s="4" t="n">
        <v>4</v>
      </c>
      <c r="C519" s="4" t="inlineStr">
        <is>
          <t>mule deer</t>
        </is>
      </c>
      <c r="D519" s="4" t="n">
        <v>2022</v>
      </c>
      <c r="E519" s="5" t="n"/>
      <c r="F519" s="5" t="n"/>
      <c r="G519" s="5" t="n">
        <v>22</v>
      </c>
      <c r="H519" s="10">
        <f>IF(E519&gt;0,G519/E519,"")</f>
        <v/>
      </c>
      <c r="I519" s="11">
        <f>IF(AND(F519&gt;0,G519&gt;0),F519/G519,"")</f>
        <v/>
      </c>
    </row>
    <row r="520">
      <c r="A520" s="4" t="inlineStr">
        <is>
          <t>442</t>
        </is>
      </c>
      <c r="B520" s="4" t="n">
        <v>4</v>
      </c>
      <c r="C520" s="4" t="inlineStr">
        <is>
          <t>mule deer</t>
        </is>
      </c>
      <c r="D520" s="4" t="n">
        <v>2023</v>
      </c>
      <c r="E520" s="5" t="n">
        <v>449</v>
      </c>
      <c r="F520" s="5" t="n">
        <v>2913</v>
      </c>
      <c r="G520" s="5" t="n">
        <v>50</v>
      </c>
      <c r="H520" s="10">
        <f>IF(E520&gt;0,G520/E520,"")</f>
        <v/>
      </c>
      <c r="I520" s="11">
        <f>IF(AND(F520&gt;0,G520&gt;0),F520/G520,"")</f>
        <v/>
      </c>
    </row>
    <row r="521">
      <c r="A521" s="4" t="inlineStr">
        <is>
          <t>442</t>
        </is>
      </c>
      <c r="B521" s="4" t="n">
        <v>4</v>
      </c>
      <c r="C521" s="4" t="inlineStr">
        <is>
          <t>mule deer</t>
        </is>
      </c>
      <c r="D521" s="4" t="n">
        <v>2024</v>
      </c>
      <c r="E521" s="5" t="n"/>
      <c r="F521" s="5" t="n"/>
      <c r="G521" s="5" t="n">
        <v>37</v>
      </c>
      <c r="H521" s="10">
        <f>IF(E521&gt;0,G521/E521,"")</f>
        <v/>
      </c>
      <c r="I521" s="11">
        <f>IF(AND(F521&gt;0,G521&gt;0),F521/G521,"")</f>
        <v/>
      </c>
    </row>
    <row r="522">
      <c r="A522" s="4" t="inlineStr">
        <is>
          <t>442</t>
        </is>
      </c>
      <c r="B522" s="4" t="n">
        <v>4</v>
      </c>
      <c r="C522" s="4" t="inlineStr">
        <is>
          <t>mule deer</t>
        </is>
      </c>
      <c r="D522" s="4" t="n">
        <v>2025</v>
      </c>
      <c r="E522" s="5" t="n">
        <v>410</v>
      </c>
      <c r="F522" s="5" t="n">
        <v>2463</v>
      </c>
      <c r="G522" s="5" t="n">
        <v>27</v>
      </c>
      <c r="H522" s="10">
        <f>IF(E522&gt;0,G522/E522,"")</f>
        <v/>
      </c>
      <c r="I522" s="11">
        <f>IF(AND(F522&gt;0,G522&gt;0),F522/G522,"")</f>
        <v/>
      </c>
    </row>
    <row r="523">
      <c r="A523" s="4" t="inlineStr">
        <is>
          <t>444</t>
        </is>
      </c>
      <c r="B523" s="4" t="n">
        <v>4</v>
      </c>
      <c r="C523" s="4" t="inlineStr">
        <is>
          <t>mule deer</t>
        </is>
      </c>
      <c r="D523" s="4" t="n">
        <v>2021</v>
      </c>
      <c r="E523" s="5" t="n">
        <v>845</v>
      </c>
      <c r="F523" s="5" t="n">
        <v>4457</v>
      </c>
      <c r="G523" s="5" t="n">
        <v>121</v>
      </c>
      <c r="H523" s="10">
        <f>IF(E523&gt;0,G523/E523,"")</f>
        <v/>
      </c>
      <c r="I523" s="11">
        <f>IF(AND(F523&gt;0,G523&gt;0),F523/G523,"")</f>
        <v/>
      </c>
    </row>
    <row r="524">
      <c r="A524" s="4" t="inlineStr">
        <is>
          <t>444</t>
        </is>
      </c>
      <c r="B524" s="4" t="n">
        <v>4</v>
      </c>
      <c r="C524" s="4" t="inlineStr">
        <is>
          <t>mule deer</t>
        </is>
      </c>
      <c r="D524" s="4" t="n">
        <v>2022</v>
      </c>
      <c r="E524" s="5" t="n"/>
      <c r="F524" s="5" t="n"/>
      <c r="G524" s="5" t="n">
        <v>147</v>
      </c>
      <c r="H524" s="10">
        <f>IF(E524&gt;0,G524/E524,"")</f>
        <v/>
      </c>
      <c r="I524" s="11">
        <f>IF(AND(F524&gt;0,G524&gt;0),F524/G524,"")</f>
        <v/>
      </c>
    </row>
    <row r="525">
      <c r="A525" s="4" t="inlineStr">
        <is>
          <t>444</t>
        </is>
      </c>
      <c r="B525" s="4" t="n">
        <v>4</v>
      </c>
      <c r="C525" s="4" t="inlineStr">
        <is>
          <t>mule deer</t>
        </is>
      </c>
      <c r="D525" s="4" t="n">
        <v>2023</v>
      </c>
      <c r="E525" s="5" t="n">
        <v>750</v>
      </c>
      <c r="F525" s="5" t="n">
        <v>4082</v>
      </c>
      <c r="G525" s="5" t="n">
        <v>139</v>
      </c>
      <c r="H525" s="10">
        <f>IF(E525&gt;0,G525/E525,"")</f>
        <v/>
      </c>
      <c r="I525" s="11">
        <f>IF(AND(F525&gt;0,G525&gt;0),F525/G525,"")</f>
        <v/>
      </c>
    </row>
    <row r="526">
      <c r="A526" s="4" t="inlineStr">
        <is>
          <t>444</t>
        </is>
      </c>
      <c r="B526" s="4" t="n">
        <v>4</v>
      </c>
      <c r="C526" s="4" t="inlineStr">
        <is>
          <t>mule deer</t>
        </is>
      </c>
      <c r="D526" s="4" t="n">
        <v>2024</v>
      </c>
      <c r="E526" s="5" t="n"/>
      <c r="F526" s="5" t="n"/>
      <c r="G526" s="5" t="n">
        <v>159</v>
      </c>
      <c r="H526" s="10">
        <f>IF(E526&gt;0,G526/E526,"")</f>
        <v/>
      </c>
      <c r="I526" s="11">
        <f>IF(AND(F526&gt;0,G526&gt;0),F526/G526,"")</f>
        <v/>
      </c>
    </row>
    <row r="527">
      <c r="A527" s="4" t="inlineStr">
        <is>
          <t>444</t>
        </is>
      </c>
      <c r="B527" s="4" t="n">
        <v>4</v>
      </c>
      <c r="C527" s="4" t="inlineStr">
        <is>
          <t>mule deer</t>
        </is>
      </c>
      <c r="D527" s="4" t="n">
        <v>2025</v>
      </c>
      <c r="E527" s="5" t="n">
        <v>840</v>
      </c>
      <c r="F527" s="5" t="n">
        <v>5719</v>
      </c>
      <c r="G527" s="5" t="n">
        <v>101</v>
      </c>
      <c r="H527" s="10">
        <f>IF(E527&gt;0,G527/E527,"")</f>
        <v/>
      </c>
      <c r="I527" s="11">
        <f>IF(AND(F527&gt;0,G527&gt;0),F527/G527,"")</f>
        <v/>
      </c>
    </row>
    <row r="528">
      <c r="A528" s="4" t="inlineStr">
        <is>
          <t>445</t>
        </is>
      </c>
      <c r="B528" s="4" t="n">
        <v>4</v>
      </c>
      <c r="C528" s="4" t="inlineStr">
        <is>
          <t>mule deer</t>
        </is>
      </c>
      <c r="D528" s="4" t="n">
        <v>2021</v>
      </c>
      <c r="E528" s="5" t="n">
        <v>1257</v>
      </c>
      <c r="F528" s="5" t="n">
        <v>6120</v>
      </c>
      <c r="G528" s="5" t="n">
        <v>283</v>
      </c>
      <c r="H528" s="10">
        <f>IF(E528&gt;0,G528/E528,"")</f>
        <v/>
      </c>
      <c r="I528" s="11">
        <f>IF(AND(F528&gt;0,G528&gt;0),F528/G528,"")</f>
        <v/>
      </c>
    </row>
    <row r="529">
      <c r="A529" s="4" t="inlineStr">
        <is>
          <t>445</t>
        </is>
      </c>
      <c r="B529" s="4" t="n">
        <v>4</v>
      </c>
      <c r="C529" s="4" t="inlineStr">
        <is>
          <t>mule deer</t>
        </is>
      </c>
      <c r="D529" s="4" t="n">
        <v>2022</v>
      </c>
      <c r="E529" s="5" t="n"/>
      <c r="F529" s="5" t="n"/>
      <c r="G529" s="5" t="n">
        <v>249</v>
      </c>
      <c r="H529" s="10">
        <f>IF(E529&gt;0,G529/E529,"")</f>
        <v/>
      </c>
      <c r="I529" s="11">
        <f>IF(AND(F529&gt;0,G529&gt;0),F529/G529,"")</f>
        <v/>
      </c>
    </row>
    <row r="530">
      <c r="A530" s="4" t="inlineStr">
        <is>
          <t>445</t>
        </is>
      </c>
      <c r="B530" s="4" t="n">
        <v>4</v>
      </c>
      <c r="C530" s="4" t="inlineStr">
        <is>
          <t>mule deer</t>
        </is>
      </c>
      <c r="D530" s="4" t="n">
        <v>2023</v>
      </c>
      <c r="E530" s="5" t="n">
        <v>1225</v>
      </c>
      <c r="F530" s="5" t="n">
        <v>6216</v>
      </c>
      <c r="G530" s="5" t="n">
        <v>242</v>
      </c>
      <c r="H530" s="10">
        <f>IF(E530&gt;0,G530/E530,"")</f>
        <v/>
      </c>
      <c r="I530" s="11">
        <f>IF(AND(F530&gt;0,G530&gt;0),F530/G530,"")</f>
        <v/>
      </c>
    </row>
    <row r="531">
      <c r="A531" s="4" t="inlineStr">
        <is>
          <t>445</t>
        </is>
      </c>
      <c r="B531" s="4" t="n">
        <v>4</v>
      </c>
      <c r="C531" s="4" t="inlineStr">
        <is>
          <t>mule deer</t>
        </is>
      </c>
      <c r="D531" s="4" t="n">
        <v>2024</v>
      </c>
      <c r="E531" s="5" t="n"/>
      <c r="F531" s="5" t="n"/>
      <c r="G531" s="5" t="n">
        <v>319</v>
      </c>
      <c r="H531" s="10">
        <f>IF(E531&gt;0,G531/E531,"")</f>
        <v/>
      </c>
      <c r="I531" s="11">
        <f>IF(AND(F531&gt;0,G531&gt;0),F531/G531,"")</f>
        <v/>
      </c>
    </row>
    <row r="532">
      <c r="A532" s="4" t="inlineStr">
        <is>
          <t>445</t>
        </is>
      </c>
      <c r="B532" s="4" t="n">
        <v>4</v>
      </c>
      <c r="C532" s="4" t="inlineStr">
        <is>
          <t>mule deer</t>
        </is>
      </c>
      <c r="D532" s="4" t="n">
        <v>2025</v>
      </c>
      <c r="E532" s="5" t="n">
        <v>1281</v>
      </c>
      <c r="F532" s="5" t="n">
        <v>6561</v>
      </c>
      <c r="G532" s="5" t="n">
        <v>221</v>
      </c>
      <c r="H532" s="10">
        <f>IF(E532&gt;0,G532/E532,"")</f>
        <v/>
      </c>
      <c r="I532" s="11">
        <f>IF(AND(F532&gt;0,G532&gt;0),F532/G532,"")</f>
        <v/>
      </c>
    </row>
    <row r="533">
      <c r="A533" s="4" t="inlineStr">
        <is>
          <t>446</t>
        </is>
      </c>
      <c r="B533" s="4" t="n">
        <v>4</v>
      </c>
      <c r="C533" s="4" t="inlineStr">
        <is>
          <t>mule deer</t>
        </is>
      </c>
      <c r="D533" s="4" t="n">
        <v>2021</v>
      </c>
      <c r="E533" s="5" t="n">
        <v>855</v>
      </c>
      <c r="F533" s="5" t="n">
        <v>4891</v>
      </c>
      <c r="G533" s="5" t="n">
        <v>140</v>
      </c>
      <c r="H533" s="10">
        <f>IF(E533&gt;0,G533/E533,"")</f>
        <v/>
      </c>
      <c r="I533" s="11">
        <f>IF(AND(F533&gt;0,G533&gt;0),F533/G533,"")</f>
        <v/>
      </c>
    </row>
    <row r="534">
      <c r="A534" s="4" t="inlineStr">
        <is>
          <t>446</t>
        </is>
      </c>
      <c r="B534" s="4" t="n">
        <v>4</v>
      </c>
      <c r="C534" s="4" t="inlineStr">
        <is>
          <t>mule deer</t>
        </is>
      </c>
      <c r="D534" s="4" t="n">
        <v>2022</v>
      </c>
      <c r="E534" s="5" t="n"/>
      <c r="F534" s="5" t="n"/>
      <c r="G534" s="5" t="n">
        <v>81</v>
      </c>
      <c r="H534" s="10">
        <f>IF(E534&gt;0,G534/E534,"")</f>
        <v/>
      </c>
      <c r="I534" s="11">
        <f>IF(AND(F534&gt;0,G534&gt;0),F534/G534,"")</f>
        <v/>
      </c>
    </row>
    <row r="535">
      <c r="A535" s="4" t="inlineStr">
        <is>
          <t>446</t>
        </is>
      </c>
      <c r="B535" s="4" t="n">
        <v>4</v>
      </c>
      <c r="C535" s="4" t="inlineStr">
        <is>
          <t>mule deer</t>
        </is>
      </c>
      <c r="D535" s="4" t="n">
        <v>2023</v>
      </c>
      <c r="E535" s="5" t="n">
        <v>829</v>
      </c>
      <c r="F535" s="5" t="n">
        <v>4900</v>
      </c>
      <c r="G535" s="5" t="n">
        <v>127</v>
      </c>
      <c r="H535" s="10">
        <f>IF(E535&gt;0,G535/E535,"")</f>
        <v/>
      </c>
      <c r="I535" s="11">
        <f>IF(AND(F535&gt;0,G535&gt;0),F535/G535,"")</f>
        <v/>
      </c>
    </row>
    <row r="536">
      <c r="A536" s="4" t="inlineStr">
        <is>
          <t>446</t>
        </is>
      </c>
      <c r="B536" s="4" t="n">
        <v>4</v>
      </c>
      <c r="C536" s="4" t="inlineStr">
        <is>
          <t>mule deer</t>
        </is>
      </c>
      <c r="D536" s="4" t="n">
        <v>2024</v>
      </c>
      <c r="E536" s="5" t="n"/>
      <c r="F536" s="5" t="n"/>
      <c r="G536" s="5" t="n">
        <v>136</v>
      </c>
      <c r="H536" s="10">
        <f>IF(E536&gt;0,G536/E536,"")</f>
        <v/>
      </c>
      <c r="I536" s="11">
        <f>IF(AND(F536&gt;0,G536&gt;0),F536/G536,"")</f>
        <v/>
      </c>
    </row>
    <row r="537">
      <c r="A537" s="4" t="inlineStr">
        <is>
          <t>446</t>
        </is>
      </c>
      <c r="B537" s="4" t="n">
        <v>4</v>
      </c>
      <c r="C537" s="4" t="inlineStr">
        <is>
          <t>mule deer</t>
        </is>
      </c>
      <c r="D537" s="4" t="n">
        <v>2025</v>
      </c>
      <c r="E537" s="5" t="n">
        <v>792</v>
      </c>
      <c r="F537" s="5" t="n">
        <v>5089</v>
      </c>
      <c r="G537" s="5" t="n">
        <v>108</v>
      </c>
      <c r="H537" s="10">
        <f>IF(E537&gt;0,G537/E537,"")</f>
        <v/>
      </c>
      <c r="I537" s="11">
        <f>IF(AND(F537&gt;0,G537&gt;0),F537/G537,"")</f>
        <v/>
      </c>
    </row>
    <row r="538">
      <c r="A538" s="4" t="inlineStr">
        <is>
          <t>447</t>
        </is>
      </c>
      <c r="B538" s="4" t="n">
        <v>4</v>
      </c>
      <c r="C538" s="4" t="inlineStr">
        <is>
          <t>mule deer</t>
        </is>
      </c>
      <c r="D538" s="4" t="n">
        <v>2021</v>
      </c>
      <c r="E538" s="5" t="n">
        <v>1817</v>
      </c>
      <c r="F538" s="5" t="n">
        <v>9402</v>
      </c>
      <c r="G538" s="5" t="n">
        <v>681</v>
      </c>
      <c r="H538" s="10">
        <f>IF(E538&gt;0,G538/E538,"")</f>
        <v/>
      </c>
      <c r="I538" s="11">
        <f>IF(AND(F538&gt;0,G538&gt;0),F538/G538,"")</f>
        <v/>
      </c>
    </row>
    <row r="539">
      <c r="A539" s="4" t="inlineStr">
        <is>
          <t>447</t>
        </is>
      </c>
      <c r="B539" s="4" t="n">
        <v>4</v>
      </c>
      <c r="C539" s="4" t="inlineStr">
        <is>
          <t>mule deer</t>
        </is>
      </c>
      <c r="D539" s="4" t="n">
        <v>2022</v>
      </c>
      <c r="E539" s="5" t="n"/>
      <c r="F539" s="5" t="n"/>
      <c r="G539" s="5" t="n">
        <v>630</v>
      </c>
      <c r="H539" s="10">
        <f>IF(E539&gt;0,G539/E539,"")</f>
        <v/>
      </c>
      <c r="I539" s="11">
        <f>IF(AND(F539&gt;0,G539&gt;0),F539/G539,"")</f>
        <v/>
      </c>
    </row>
    <row r="540">
      <c r="A540" s="4" t="inlineStr">
        <is>
          <t>447</t>
        </is>
      </c>
      <c r="B540" s="4" t="n">
        <v>4</v>
      </c>
      <c r="C540" s="4" t="inlineStr">
        <is>
          <t>mule deer</t>
        </is>
      </c>
      <c r="D540" s="4" t="n">
        <v>2023</v>
      </c>
      <c r="E540" s="5" t="n">
        <v>1712</v>
      </c>
      <c r="F540" s="5" t="n">
        <v>9530</v>
      </c>
      <c r="G540" s="5" t="n">
        <v>602</v>
      </c>
      <c r="H540" s="10">
        <f>IF(E540&gt;0,G540/E540,"")</f>
        <v/>
      </c>
      <c r="I540" s="11">
        <f>IF(AND(F540&gt;0,G540&gt;0),F540/G540,"")</f>
        <v/>
      </c>
    </row>
    <row r="541">
      <c r="A541" s="4" t="inlineStr">
        <is>
          <t>447</t>
        </is>
      </c>
      <c r="B541" s="4" t="n">
        <v>4</v>
      </c>
      <c r="C541" s="4" t="inlineStr">
        <is>
          <t>mule deer</t>
        </is>
      </c>
      <c r="D541" s="4" t="n">
        <v>2024</v>
      </c>
      <c r="E541" s="5" t="n"/>
      <c r="F541" s="5" t="n"/>
      <c r="G541" s="5" t="n">
        <v>581</v>
      </c>
      <c r="H541" s="10">
        <f>IF(E541&gt;0,G541/E541,"")</f>
        <v/>
      </c>
      <c r="I541" s="11">
        <f>IF(AND(F541&gt;0,G541&gt;0),F541/G541,"")</f>
        <v/>
      </c>
    </row>
    <row r="542">
      <c r="A542" s="4" t="inlineStr">
        <is>
          <t>447</t>
        </is>
      </c>
      <c r="B542" s="4" t="n">
        <v>4</v>
      </c>
      <c r="C542" s="4" t="inlineStr">
        <is>
          <t>mule deer</t>
        </is>
      </c>
      <c r="D542" s="4" t="n">
        <v>2025</v>
      </c>
      <c r="E542" s="5" t="n">
        <v>1613</v>
      </c>
      <c r="F542" s="5" t="n">
        <v>9805</v>
      </c>
      <c r="G542" s="5" t="n">
        <v>431</v>
      </c>
      <c r="H542" s="10">
        <f>IF(E542&gt;0,G542/E542,"")</f>
        <v/>
      </c>
      <c r="I542" s="11">
        <f>IF(AND(F542&gt;0,G542&gt;0),F542/G542,"")</f>
        <v/>
      </c>
    </row>
    <row r="543">
      <c r="A543" s="4" t="inlineStr">
        <is>
          <t>448</t>
        </is>
      </c>
      <c r="B543" s="4" t="n">
        <v>4</v>
      </c>
      <c r="C543" s="4" t="inlineStr">
        <is>
          <t>mule deer</t>
        </is>
      </c>
      <c r="D543" s="4" t="n">
        <v>2021</v>
      </c>
      <c r="E543" s="5" t="n">
        <v>574</v>
      </c>
      <c r="F543" s="5" t="n">
        <v>3981</v>
      </c>
      <c r="G543" s="5" t="n">
        <v>126</v>
      </c>
      <c r="H543" s="10">
        <f>IF(E543&gt;0,G543/E543,"")</f>
        <v/>
      </c>
      <c r="I543" s="11">
        <f>IF(AND(F543&gt;0,G543&gt;0),F543/G543,"")</f>
        <v/>
      </c>
    </row>
    <row r="544">
      <c r="A544" s="4" t="inlineStr">
        <is>
          <t>448</t>
        </is>
      </c>
      <c r="B544" s="4" t="n">
        <v>4</v>
      </c>
      <c r="C544" s="4" t="inlineStr">
        <is>
          <t>mule deer</t>
        </is>
      </c>
      <c r="D544" s="4" t="n">
        <v>2022</v>
      </c>
      <c r="E544" s="5" t="n"/>
      <c r="F544" s="5" t="n"/>
      <c r="G544" s="5" t="n">
        <v>144</v>
      </c>
      <c r="H544" s="10">
        <f>IF(E544&gt;0,G544/E544,"")</f>
        <v/>
      </c>
      <c r="I544" s="11">
        <f>IF(AND(F544&gt;0,G544&gt;0),F544/G544,"")</f>
        <v/>
      </c>
    </row>
    <row r="545">
      <c r="A545" s="4" t="inlineStr">
        <is>
          <t>448</t>
        </is>
      </c>
      <c r="B545" s="4" t="n">
        <v>4</v>
      </c>
      <c r="C545" s="4" t="inlineStr">
        <is>
          <t>mule deer</t>
        </is>
      </c>
      <c r="D545" s="4" t="n">
        <v>2023</v>
      </c>
      <c r="E545" s="5" t="n">
        <v>677</v>
      </c>
      <c r="F545" s="5" t="n">
        <v>3952</v>
      </c>
      <c r="G545" s="5" t="n">
        <v>172</v>
      </c>
      <c r="H545" s="10">
        <f>IF(E545&gt;0,G545/E545,"")</f>
        <v/>
      </c>
      <c r="I545" s="11">
        <f>IF(AND(F545&gt;0,G545&gt;0),F545/G545,"")</f>
        <v/>
      </c>
    </row>
    <row r="546">
      <c r="A546" s="4" t="inlineStr">
        <is>
          <t>448</t>
        </is>
      </c>
      <c r="B546" s="4" t="n">
        <v>4</v>
      </c>
      <c r="C546" s="4" t="inlineStr">
        <is>
          <t>mule deer</t>
        </is>
      </c>
      <c r="D546" s="4" t="n">
        <v>2024</v>
      </c>
      <c r="E546" s="5" t="n"/>
      <c r="F546" s="5" t="n"/>
      <c r="G546" s="5" t="n">
        <v>174</v>
      </c>
      <c r="H546" s="10">
        <f>IF(E546&gt;0,G546/E546,"")</f>
        <v/>
      </c>
      <c r="I546" s="11">
        <f>IF(AND(F546&gt;0,G546&gt;0),F546/G546,"")</f>
        <v/>
      </c>
    </row>
    <row r="547">
      <c r="A547" s="4" t="inlineStr">
        <is>
          <t>448</t>
        </is>
      </c>
      <c r="B547" s="4" t="n">
        <v>4</v>
      </c>
      <c r="C547" s="4" t="inlineStr">
        <is>
          <t>mule deer</t>
        </is>
      </c>
      <c r="D547" s="4" t="n">
        <v>2025</v>
      </c>
      <c r="E547" s="5" t="n">
        <v>788</v>
      </c>
      <c r="F547" s="5" t="n">
        <v>5434</v>
      </c>
      <c r="G547" s="5" t="n">
        <v>213</v>
      </c>
      <c r="H547" s="10">
        <f>IF(E547&gt;0,G547/E547,"")</f>
        <v/>
      </c>
      <c r="I547" s="11">
        <f>IF(AND(F547&gt;0,G547&gt;0),F547/G547,"")</f>
        <v/>
      </c>
    </row>
    <row r="548">
      <c r="A548" s="4" t="inlineStr">
        <is>
          <t>450</t>
        </is>
      </c>
      <c r="B548" s="4" t="n">
        <v>4</v>
      </c>
      <c r="C548" s="4" t="inlineStr">
        <is>
          <t>mule deer</t>
        </is>
      </c>
      <c r="D548" s="4" t="n">
        <v>2021</v>
      </c>
      <c r="E548" s="5" t="n">
        <v>348</v>
      </c>
      <c r="F548" s="5" t="n">
        <v>1865</v>
      </c>
      <c r="G548" s="5" t="n">
        <v>89</v>
      </c>
      <c r="H548" s="10">
        <f>IF(E548&gt;0,G548/E548,"")</f>
        <v/>
      </c>
      <c r="I548" s="11">
        <f>IF(AND(F548&gt;0,G548&gt;0),F548/G548,"")</f>
        <v/>
      </c>
    </row>
    <row r="549">
      <c r="A549" s="4" t="inlineStr">
        <is>
          <t>450</t>
        </is>
      </c>
      <c r="B549" s="4" t="n">
        <v>4</v>
      </c>
      <c r="C549" s="4" t="inlineStr">
        <is>
          <t>mule deer</t>
        </is>
      </c>
      <c r="D549" s="4" t="n">
        <v>2022</v>
      </c>
      <c r="E549" s="5" t="n"/>
      <c r="F549" s="5" t="n"/>
      <c r="G549" s="5" t="n">
        <v>129</v>
      </c>
      <c r="H549" s="10">
        <f>IF(E549&gt;0,G549/E549,"")</f>
        <v/>
      </c>
      <c r="I549" s="11">
        <f>IF(AND(F549&gt;0,G549&gt;0),F549/G549,"")</f>
        <v/>
      </c>
    </row>
    <row r="550">
      <c r="A550" s="4" t="inlineStr">
        <is>
          <t>450</t>
        </is>
      </c>
      <c r="B550" s="4" t="n">
        <v>4</v>
      </c>
      <c r="C550" s="4" t="inlineStr">
        <is>
          <t>mule deer</t>
        </is>
      </c>
      <c r="D550" s="4" t="n">
        <v>2023</v>
      </c>
      <c r="E550" s="5" t="n">
        <v>541</v>
      </c>
      <c r="F550" s="5" t="n">
        <v>2843</v>
      </c>
      <c r="G550" s="5" t="n">
        <v>125</v>
      </c>
      <c r="H550" s="10">
        <f>IF(E550&gt;0,G550/E550,"")</f>
        <v/>
      </c>
      <c r="I550" s="11">
        <f>IF(AND(F550&gt;0,G550&gt;0),F550/G550,"")</f>
        <v/>
      </c>
    </row>
    <row r="551">
      <c r="A551" s="4" t="inlineStr">
        <is>
          <t>450</t>
        </is>
      </c>
      <c r="B551" s="4" t="n">
        <v>4</v>
      </c>
      <c r="C551" s="4" t="inlineStr">
        <is>
          <t>mule deer</t>
        </is>
      </c>
      <c r="D551" s="4" t="n">
        <v>2024</v>
      </c>
      <c r="E551" s="5" t="n"/>
      <c r="F551" s="5" t="n"/>
      <c r="G551" s="5" t="n">
        <v>114</v>
      </c>
      <c r="H551" s="10">
        <f>IF(E551&gt;0,G551/E551,"")</f>
        <v/>
      </c>
      <c r="I551" s="11">
        <f>IF(AND(F551&gt;0,G551&gt;0),F551/G551,"")</f>
        <v/>
      </c>
    </row>
    <row r="552">
      <c r="A552" s="4" t="inlineStr">
        <is>
          <t>450</t>
        </is>
      </c>
      <c r="B552" s="4" t="n">
        <v>4</v>
      </c>
      <c r="C552" s="4" t="inlineStr">
        <is>
          <t>mule deer</t>
        </is>
      </c>
      <c r="D552" s="4" t="n">
        <v>2025</v>
      </c>
      <c r="E552" s="5" t="n">
        <v>584</v>
      </c>
      <c r="F552" s="5" t="n">
        <v>3678</v>
      </c>
      <c r="G552" s="5" t="n">
        <v>112</v>
      </c>
      <c r="H552" s="10">
        <f>IF(E552&gt;0,G552/E552,"")</f>
        <v/>
      </c>
      <c r="I552" s="11">
        <f>IF(AND(F552&gt;0,G552&gt;0),F552/G552,"")</f>
        <v/>
      </c>
    </row>
    <row r="553">
      <c r="A553" s="4" t="inlineStr">
        <is>
          <t>451</t>
        </is>
      </c>
      <c r="B553" s="4" t="n">
        <v>4</v>
      </c>
      <c r="C553" s="4" t="inlineStr">
        <is>
          <t>mule deer</t>
        </is>
      </c>
      <c r="D553" s="4" t="n">
        <v>2021</v>
      </c>
      <c r="E553" s="5" t="n">
        <v>101</v>
      </c>
      <c r="F553" s="5" t="n">
        <v>499</v>
      </c>
      <c r="G553" s="5" t="n">
        <v>7</v>
      </c>
      <c r="H553" s="10">
        <f>IF(E553&gt;0,G553/E553,"")</f>
        <v/>
      </c>
      <c r="I553" s="11">
        <f>IF(AND(F553&gt;0,G553&gt;0),F553/G553,"")</f>
        <v/>
      </c>
    </row>
    <row r="554">
      <c r="A554" s="4" t="inlineStr">
        <is>
          <t>451</t>
        </is>
      </c>
      <c r="B554" s="4" t="n">
        <v>4</v>
      </c>
      <c r="C554" s="4" t="inlineStr">
        <is>
          <t>mule deer</t>
        </is>
      </c>
      <c r="D554" s="4" t="n">
        <v>2022</v>
      </c>
      <c r="E554" s="5" t="n"/>
      <c r="F554" s="5" t="n"/>
      <c r="G554" s="5" t="n">
        <v>16</v>
      </c>
      <c r="H554" s="10">
        <f>IF(E554&gt;0,G554/E554,"")</f>
        <v/>
      </c>
      <c r="I554" s="11">
        <f>IF(AND(F554&gt;0,G554&gt;0),F554/G554,"")</f>
        <v/>
      </c>
    </row>
    <row r="555">
      <c r="A555" s="4" t="inlineStr">
        <is>
          <t>451</t>
        </is>
      </c>
      <c r="B555" s="4" t="n">
        <v>4</v>
      </c>
      <c r="C555" s="4" t="inlineStr">
        <is>
          <t>mule deer</t>
        </is>
      </c>
      <c r="D555" s="4" t="n">
        <v>2023</v>
      </c>
      <c r="E555" s="5" t="n">
        <v>104</v>
      </c>
      <c r="F555" s="5" t="n">
        <v>621</v>
      </c>
      <c r="G555" s="5" t="n">
        <v>23</v>
      </c>
      <c r="H555" s="10">
        <f>IF(E555&gt;0,G555/E555,"")</f>
        <v/>
      </c>
      <c r="I555" s="11">
        <f>IF(AND(F555&gt;0,G555&gt;0),F555/G555,"")</f>
        <v/>
      </c>
    </row>
    <row r="556">
      <c r="A556" s="4" t="inlineStr">
        <is>
          <t>451</t>
        </is>
      </c>
      <c r="B556" s="4" t="n">
        <v>4</v>
      </c>
      <c r="C556" s="4" t="inlineStr">
        <is>
          <t>mule deer</t>
        </is>
      </c>
      <c r="D556" s="4" t="n">
        <v>2024</v>
      </c>
      <c r="E556" s="5" t="n"/>
      <c r="F556" s="5" t="n"/>
      <c r="G556" s="5" t="n">
        <v>30</v>
      </c>
      <c r="H556" s="10">
        <f>IF(E556&gt;0,G556/E556,"")</f>
        <v/>
      </c>
      <c r="I556" s="11">
        <f>IF(AND(F556&gt;0,G556&gt;0),F556/G556,"")</f>
        <v/>
      </c>
    </row>
    <row r="557">
      <c r="A557" s="4" t="inlineStr">
        <is>
          <t>451</t>
        </is>
      </c>
      <c r="B557" s="4" t="n">
        <v>4</v>
      </c>
      <c r="C557" s="4" t="inlineStr">
        <is>
          <t>mule deer</t>
        </is>
      </c>
      <c r="D557" s="4" t="n">
        <v>2025</v>
      </c>
      <c r="E557" s="5" t="n">
        <v>144</v>
      </c>
      <c r="F557" s="5" t="n">
        <v>1358</v>
      </c>
      <c r="G557" s="5" t="n">
        <v>42</v>
      </c>
      <c r="H557" s="10">
        <f>IF(E557&gt;0,G557/E557,"")</f>
        <v/>
      </c>
      <c r="I557" s="11">
        <f>IF(AND(F557&gt;0,G557&gt;0),F557/G557,"")</f>
        <v/>
      </c>
    </row>
    <row r="558">
      <c r="A558" s="4" t="inlineStr">
        <is>
          <t>452</t>
        </is>
      </c>
      <c r="B558" s="4" t="n">
        <v>4</v>
      </c>
      <c r="C558" s="4" t="inlineStr">
        <is>
          <t>mule deer</t>
        </is>
      </c>
      <c r="D558" s="4" t="n">
        <v>2021</v>
      </c>
      <c r="E558" s="5" t="n">
        <v>795</v>
      </c>
      <c r="F558" s="5" t="n">
        <v>4337</v>
      </c>
      <c r="G558" s="5" t="n">
        <v>190</v>
      </c>
      <c r="H558" s="10">
        <f>IF(E558&gt;0,G558/E558,"")</f>
        <v/>
      </c>
      <c r="I558" s="11">
        <f>IF(AND(F558&gt;0,G558&gt;0),F558/G558,"")</f>
        <v/>
      </c>
    </row>
    <row r="559">
      <c r="A559" s="4" t="inlineStr">
        <is>
          <t>452</t>
        </is>
      </c>
      <c r="B559" s="4" t="n">
        <v>4</v>
      </c>
      <c r="C559" s="4" t="inlineStr">
        <is>
          <t>mule deer</t>
        </is>
      </c>
      <c r="D559" s="4" t="n">
        <v>2022</v>
      </c>
      <c r="E559" s="5" t="n"/>
      <c r="F559" s="5" t="n"/>
      <c r="G559" s="5" t="n">
        <v>148</v>
      </c>
      <c r="H559" s="10">
        <f>IF(E559&gt;0,G559/E559,"")</f>
        <v/>
      </c>
      <c r="I559" s="11">
        <f>IF(AND(F559&gt;0,G559&gt;0),F559/G559,"")</f>
        <v/>
      </c>
    </row>
    <row r="560">
      <c r="A560" s="4" t="inlineStr">
        <is>
          <t>452</t>
        </is>
      </c>
      <c r="B560" s="4" t="n">
        <v>4</v>
      </c>
      <c r="C560" s="4" t="inlineStr">
        <is>
          <t>mule deer</t>
        </is>
      </c>
      <c r="D560" s="4" t="n">
        <v>2023</v>
      </c>
      <c r="E560" s="5" t="n">
        <v>830</v>
      </c>
      <c r="F560" s="5" t="n">
        <v>5002</v>
      </c>
      <c r="G560" s="5" t="n">
        <v>161</v>
      </c>
      <c r="H560" s="10">
        <f>IF(E560&gt;0,G560/E560,"")</f>
        <v/>
      </c>
      <c r="I560" s="11">
        <f>IF(AND(F560&gt;0,G560&gt;0),F560/G560,"")</f>
        <v/>
      </c>
    </row>
    <row r="561">
      <c r="A561" s="4" t="inlineStr">
        <is>
          <t>452</t>
        </is>
      </c>
      <c r="B561" s="4" t="n">
        <v>4</v>
      </c>
      <c r="C561" s="4" t="inlineStr">
        <is>
          <t>mule deer</t>
        </is>
      </c>
      <c r="D561" s="4" t="n">
        <v>2024</v>
      </c>
      <c r="E561" s="5" t="n"/>
      <c r="F561" s="5" t="n"/>
      <c r="G561" s="5" t="n">
        <v>211</v>
      </c>
      <c r="H561" s="10">
        <f>IF(E561&gt;0,G561/E561,"")</f>
        <v/>
      </c>
      <c r="I561" s="11">
        <f>IF(AND(F561&gt;0,G561&gt;0),F561/G561,"")</f>
        <v/>
      </c>
    </row>
    <row r="562">
      <c r="A562" s="4" t="inlineStr">
        <is>
          <t>452</t>
        </is>
      </c>
      <c r="B562" s="4" t="n">
        <v>4</v>
      </c>
      <c r="C562" s="4" t="inlineStr">
        <is>
          <t>mule deer</t>
        </is>
      </c>
      <c r="D562" s="4" t="n">
        <v>2025</v>
      </c>
      <c r="E562" s="5" t="n">
        <v>962</v>
      </c>
      <c r="F562" s="5" t="n">
        <v>6026</v>
      </c>
      <c r="G562" s="5" t="n">
        <v>232</v>
      </c>
      <c r="H562" s="10">
        <f>IF(E562&gt;0,G562/E562,"")</f>
        <v/>
      </c>
      <c r="I562" s="11">
        <f>IF(AND(F562&gt;0,G562&gt;0),F562/G562,"")</f>
        <v/>
      </c>
    </row>
    <row r="563">
      <c r="A563" s="4" t="inlineStr">
        <is>
          <t>454</t>
        </is>
      </c>
      <c r="B563" s="4" t="n">
        <v>4</v>
      </c>
      <c r="C563" s="4" t="inlineStr">
        <is>
          <t>mule deer</t>
        </is>
      </c>
      <c r="D563" s="4" t="n">
        <v>2021</v>
      </c>
      <c r="E563" s="5" t="n">
        <v>542</v>
      </c>
      <c r="F563" s="5" t="n">
        <v>3238</v>
      </c>
      <c r="G563" s="5" t="n">
        <v>88</v>
      </c>
      <c r="H563" s="10">
        <f>IF(E563&gt;0,G563/E563,"")</f>
        <v/>
      </c>
      <c r="I563" s="11">
        <f>IF(AND(F563&gt;0,G563&gt;0),F563/G563,"")</f>
        <v/>
      </c>
    </row>
    <row r="564">
      <c r="A564" s="4" t="inlineStr">
        <is>
          <t>455</t>
        </is>
      </c>
      <c r="B564" s="4" t="n">
        <v>4</v>
      </c>
      <c r="C564" s="4" t="inlineStr">
        <is>
          <t>mule deer</t>
        </is>
      </c>
      <c r="D564" s="4" t="n">
        <v>2021</v>
      </c>
      <c r="E564" s="5" t="n">
        <v>73</v>
      </c>
      <c r="F564" s="5" t="n">
        <v>426</v>
      </c>
      <c r="G564" s="5" t="n">
        <v>15</v>
      </c>
      <c r="H564" s="10">
        <f>IF(E564&gt;0,G564/E564,"")</f>
        <v/>
      </c>
      <c r="I564" s="11">
        <f>IF(AND(F564&gt;0,G564&gt;0),F564/G564,"")</f>
        <v/>
      </c>
    </row>
    <row r="565">
      <c r="A565" s="4" t="inlineStr">
        <is>
          <t>455</t>
        </is>
      </c>
      <c r="B565" s="4" t="n">
        <v>4</v>
      </c>
      <c r="C565" s="4" t="inlineStr">
        <is>
          <t>mule deer</t>
        </is>
      </c>
      <c r="D565" s="4" t="n">
        <v>2022</v>
      </c>
      <c r="E565" s="5" t="n"/>
      <c r="F565" s="5" t="n"/>
      <c r="G565" s="5" t="n">
        <v>12</v>
      </c>
      <c r="H565" s="10">
        <f>IF(E565&gt;0,G565/E565,"")</f>
        <v/>
      </c>
      <c r="I565" s="11">
        <f>IF(AND(F565&gt;0,G565&gt;0),F565/G565,"")</f>
        <v/>
      </c>
    </row>
    <row r="566">
      <c r="A566" s="4" t="inlineStr">
        <is>
          <t>455</t>
        </is>
      </c>
      <c r="B566" s="4" t="n">
        <v>4</v>
      </c>
      <c r="C566" s="4" t="inlineStr">
        <is>
          <t>mule deer</t>
        </is>
      </c>
      <c r="D566" s="4" t="n">
        <v>2023</v>
      </c>
      <c r="E566" s="5" t="n">
        <v>73</v>
      </c>
      <c r="F566" s="5" t="n">
        <v>401</v>
      </c>
      <c r="G566" s="5" t="n">
        <v>7</v>
      </c>
      <c r="H566" s="10">
        <f>IF(E566&gt;0,G566/E566,"")</f>
        <v/>
      </c>
      <c r="I566" s="11">
        <f>IF(AND(F566&gt;0,G566&gt;0),F566/G566,"")</f>
        <v/>
      </c>
    </row>
    <row r="567">
      <c r="A567" s="4" t="inlineStr">
        <is>
          <t>455</t>
        </is>
      </c>
      <c r="B567" s="4" t="n">
        <v>4</v>
      </c>
      <c r="C567" s="4" t="inlineStr">
        <is>
          <t>mule deer</t>
        </is>
      </c>
      <c r="D567" s="4" t="n">
        <v>2024</v>
      </c>
      <c r="E567" s="5" t="n"/>
      <c r="F567" s="5" t="n"/>
      <c r="G567" s="5" t="n">
        <v>6</v>
      </c>
      <c r="H567" s="10">
        <f>IF(E567&gt;0,G567/E567,"")</f>
        <v/>
      </c>
      <c r="I567" s="11">
        <f>IF(AND(F567&gt;0,G567&gt;0),F567/G567,"")</f>
        <v/>
      </c>
    </row>
    <row r="568">
      <c r="A568" s="4" t="inlineStr">
        <is>
          <t>455</t>
        </is>
      </c>
      <c r="B568" s="4" t="n">
        <v>4</v>
      </c>
      <c r="C568" s="4" t="inlineStr">
        <is>
          <t>mule deer</t>
        </is>
      </c>
      <c r="D568" s="4" t="n">
        <v>2025</v>
      </c>
      <c r="E568" s="5" t="n">
        <v>107</v>
      </c>
      <c r="F568" s="5" t="n">
        <v>713</v>
      </c>
      <c r="G568" s="5" t="n">
        <v>19</v>
      </c>
      <c r="H568" s="10">
        <f>IF(E568&gt;0,G568/E568,"")</f>
        <v/>
      </c>
      <c r="I568" s="11">
        <f>IF(AND(F568&gt;0,G568&gt;0),F568/G568,"")</f>
        <v/>
      </c>
    </row>
    <row r="569">
      <c r="A569" s="4" t="inlineStr">
        <is>
          <t>471</t>
        </is>
      </c>
      <c r="B569" s="4" t="n">
        <v>4</v>
      </c>
      <c r="C569" s="4" t="inlineStr">
        <is>
          <t>mule deer</t>
        </is>
      </c>
      <c r="D569" s="4" t="n">
        <v>2021</v>
      </c>
      <c r="E569" s="5" t="n">
        <v>771</v>
      </c>
      <c r="F569" s="5" t="n">
        <v>3574</v>
      </c>
      <c r="G569" s="5" t="n">
        <v>423</v>
      </c>
      <c r="H569" s="10">
        <f>IF(E569&gt;0,G569/E569,"")</f>
        <v/>
      </c>
      <c r="I569" s="11">
        <f>IF(AND(F569&gt;0,G569&gt;0),F569/G569,"")</f>
        <v/>
      </c>
    </row>
    <row r="570">
      <c r="A570" s="4" t="inlineStr">
        <is>
          <t>471</t>
        </is>
      </c>
      <c r="B570" s="4" t="n">
        <v>4</v>
      </c>
      <c r="C570" s="4" t="inlineStr">
        <is>
          <t>mule deer</t>
        </is>
      </c>
      <c r="D570" s="4" t="n">
        <v>2022</v>
      </c>
      <c r="E570" s="5" t="n"/>
      <c r="F570" s="5" t="n"/>
      <c r="G570" s="5" t="n">
        <v>408</v>
      </c>
      <c r="H570" s="10">
        <f>IF(E570&gt;0,G570/E570,"")</f>
        <v/>
      </c>
      <c r="I570" s="11">
        <f>IF(AND(F570&gt;0,G570&gt;0),F570/G570,"")</f>
        <v/>
      </c>
    </row>
    <row r="571">
      <c r="A571" s="4" t="inlineStr">
        <is>
          <t>471</t>
        </is>
      </c>
      <c r="B571" s="4" t="n">
        <v>4</v>
      </c>
      <c r="C571" s="4" t="inlineStr">
        <is>
          <t>mule deer</t>
        </is>
      </c>
      <c r="D571" s="4" t="n">
        <v>2023</v>
      </c>
      <c r="E571" s="5" t="n">
        <v>813</v>
      </c>
      <c r="F571" s="5" t="n">
        <v>3669</v>
      </c>
      <c r="G571" s="5" t="n">
        <v>436</v>
      </c>
      <c r="H571" s="10">
        <f>IF(E571&gt;0,G571/E571,"")</f>
        <v/>
      </c>
      <c r="I571" s="11">
        <f>IF(AND(F571&gt;0,G571&gt;0),F571/G571,"")</f>
        <v/>
      </c>
    </row>
    <row r="572">
      <c r="A572" s="4" t="inlineStr">
        <is>
          <t>471</t>
        </is>
      </c>
      <c r="B572" s="4" t="n">
        <v>4</v>
      </c>
      <c r="C572" s="4" t="inlineStr">
        <is>
          <t>mule deer</t>
        </is>
      </c>
      <c r="D572" s="4" t="n">
        <v>2024</v>
      </c>
      <c r="E572" s="5" t="n"/>
      <c r="F572" s="5" t="n"/>
      <c r="G572" s="5" t="n">
        <v>422</v>
      </c>
      <c r="H572" s="10">
        <f>IF(E572&gt;0,G572/E572,"")</f>
        <v/>
      </c>
      <c r="I572" s="11">
        <f>IF(AND(F572&gt;0,G572&gt;0),F572/G572,"")</f>
        <v/>
      </c>
    </row>
    <row r="573">
      <c r="A573" s="4" t="inlineStr">
        <is>
          <t>471</t>
        </is>
      </c>
      <c r="B573" s="4" t="n">
        <v>4</v>
      </c>
      <c r="C573" s="4" t="inlineStr">
        <is>
          <t>mule deer</t>
        </is>
      </c>
      <c r="D573" s="4" t="n">
        <v>2025</v>
      </c>
      <c r="E573" s="5" t="n">
        <v>640</v>
      </c>
      <c r="F573" s="5" t="n">
        <v>5298</v>
      </c>
      <c r="G573" s="5" t="n">
        <v>284</v>
      </c>
      <c r="H573" s="10">
        <f>IF(E573&gt;0,G573/E573,"")</f>
        <v/>
      </c>
      <c r="I573" s="11">
        <f>IF(AND(F573&gt;0,G573&gt;0),F573/G573,"")</f>
        <v/>
      </c>
    </row>
    <row r="574">
      <c r="A574" s="4" t="inlineStr">
        <is>
          <t>500</t>
        </is>
      </c>
      <c r="B574" s="4" t="n">
        <v>5</v>
      </c>
      <c r="C574" s="4" t="inlineStr">
        <is>
          <t>mule deer</t>
        </is>
      </c>
      <c r="D574" s="4" t="n">
        <v>2021</v>
      </c>
      <c r="E574" s="5" t="n">
        <v>2071</v>
      </c>
      <c r="F574" s="5" t="n">
        <v>10264</v>
      </c>
      <c r="G574" s="5" t="n">
        <v>751</v>
      </c>
      <c r="H574" s="10">
        <f>IF(E574&gt;0,G574/E574,"")</f>
        <v/>
      </c>
      <c r="I574" s="11">
        <f>IF(AND(F574&gt;0,G574&gt;0),F574/G574,"")</f>
        <v/>
      </c>
    </row>
    <row r="575">
      <c r="A575" s="4" t="inlineStr">
        <is>
          <t>502</t>
        </is>
      </c>
      <c r="B575" s="4" t="n">
        <v>5</v>
      </c>
      <c r="C575" s="4" t="inlineStr">
        <is>
          <t>mule deer</t>
        </is>
      </c>
      <c r="D575" s="4" t="n">
        <v>2021</v>
      </c>
      <c r="E575" s="5" t="n">
        <v>1357</v>
      </c>
      <c r="F575" s="5" t="n">
        <v>6709</v>
      </c>
      <c r="G575" s="5" t="n">
        <v>477</v>
      </c>
      <c r="H575" s="10">
        <f>IF(E575&gt;0,G575/E575,"")</f>
        <v/>
      </c>
      <c r="I575" s="11">
        <f>IF(AND(F575&gt;0,G575&gt;0),F575/G575,"")</f>
        <v/>
      </c>
    </row>
    <row r="576">
      <c r="A576" s="4" t="inlineStr">
        <is>
          <t>502</t>
        </is>
      </c>
      <c r="B576" s="4" t="n">
        <v>5</v>
      </c>
      <c r="C576" s="4" t="inlineStr">
        <is>
          <t>mule deer</t>
        </is>
      </c>
      <c r="D576" s="4" t="n">
        <v>2022</v>
      </c>
      <c r="E576" s="5" t="n"/>
      <c r="F576" s="5" t="n"/>
      <c r="G576" s="5" t="n">
        <v>633</v>
      </c>
      <c r="H576" s="10">
        <f>IF(E576&gt;0,G576/E576,"")</f>
        <v/>
      </c>
      <c r="I576" s="11">
        <f>IF(AND(F576&gt;0,G576&gt;0),F576/G576,"")</f>
        <v/>
      </c>
    </row>
    <row r="577">
      <c r="A577" s="4" t="inlineStr">
        <is>
          <t>502</t>
        </is>
      </c>
      <c r="B577" s="4" t="n">
        <v>5</v>
      </c>
      <c r="C577" s="4" t="inlineStr">
        <is>
          <t>mule deer</t>
        </is>
      </c>
      <c r="D577" s="4" t="n">
        <v>2023</v>
      </c>
      <c r="E577" s="5" t="n">
        <v>1568</v>
      </c>
      <c r="F577" s="5" t="n">
        <v>7793</v>
      </c>
      <c r="G577" s="5" t="n">
        <v>565</v>
      </c>
      <c r="H577" s="10">
        <f>IF(E577&gt;0,G577/E577,"")</f>
        <v/>
      </c>
      <c r="I577" s="11">
        <f>IF(AND(F577&gt;0,G577&gt;0),F577/G577,"")</f>
        <v/>
      </c>
    </row>
    <row r="578">
      <c r="A578" s="4" t="inlineStr">
        <is>
          <t>502</t>
        </is>
      </c>
      <c r="B578" s="4" t="n">
        <v>5</v>
      </c>
      <c r="C578" s="4" t="inlineStr">
        <is>
          <t>mule deer</t>
        </is>
      </c>
      <c r="D578" s="4" t="n">
        <v>2024</v>
      </c>
      <c r="E578" s="5" t="n"/>
      <c r="F578" s="5" t="n"/>
      <c r="G578" s="5" t="n">
        <v>506</v>
      </c>
      <c r="H578" s="10">
        <f>IF(E578&gt;0,G578/E578,"")</f>
        <v/>
      </c>
      <c r="I578" s="11">
        <f>IF(AND(F578&gt;0,G578&gt;0),F578/G578,"")</f>
        <v/>
      </c>
    </row>
    <row r="579">
      <c r="A579" s="4" t="inlineStr">
        <is>
          <t>502</t>
        </is>
      </c>
      <c r="B579" s="4" t="n">
        <v>5</v>
      </c>
      <c r="C579" s="4" t="inlineStr">
        <is>
          <t>mule deer</t>
        </is>
      </c>
      <c r="D579" s="4" t="n">
        <v>2025</v>
      </c>
      <c r="E579" s="5" t="n">
        <v>1625</v>
      </c>
      <c r="F579" s="5" t="n">
        <v>8330</v>
      </c>
      <c r="G579" s="5" t="n">
        <v>650</v>
      </c>
      <c r="H579" s="10">
        <f>IF(E579&gt;0,G579/E579,"")</f>
        <v/>
      </c>
      <c r="I579" s="11">
        <f>IF(AND(F579&gt;0,G579&gt;0),F579/G579,"")</f>
        <v/>
      </c>
    </row>
    <row r="580">
      <c r="A580" s="4" t="inlineStr">
        <is>
          <t>510</t>
        </is>
      </c>
      <c r="B580" s="4" t="n">
        <v>5</v>
      </c>
      <c r="C580" s="4" t="inlineStr">
        <is>
          <t>mule deer</t>
        </is>
      </c>
      <c r="D580" s="4" t="n">
        <v>2021</v>
      </c>
      <c r="E580" s="5" t="n">
        <v>383</v>
      </c>
      <c r="F580" s="5" t="n">
        <v>1917</v>
      </c>
      <c r="G580" s="5" t="n">
        <v>106</v>
      </c>
      <c r="H580" s="10">
        <f>IF(E580&gt;0,G580/E580,"")</f>
        <v/>
      </c>
      <c r="I580" s="11">
        <f>IF(AND(F580&gt;0,G580&gt;0),F580/G580,"")</f>
        <v/>
      </c>
    </row>
    <row r="581">
      <c r="A581" s="4" t="inlineStr">
        <is>
          <t>511</t>
        </is>
      </c>
      <c r="B581" s="4" t="n">
        <v>5</v>
      </c>
      <c r="C581" s="4" t="inlineStr">
        <is>
          <t>mule deer</t>
        </is>
      </c>
      <c r="D581" s="4" t="n">
        <v>2021</v>
      </c>
      <c r="E581" s="5" t="n">
        <v>602</v>
      </c>
      <c r="F581" s="5" t="n">
        <v>3070</v>
      </c>
      <c r="G581" s="5" t="n">
        <v>148</v>
      </c>
      <c r="H581" s="10">
        <f>IF(E581&gt;0,G581/E581,"")</f>
        <v/>
      </c>
      <c r="I581" s="11">
        <f>IF(AND(F581&gt;0,G581&gt;0),F581/G581,"")</f>
        <v/>
      </c>
    </row>
    <row r="582">
      <c r="A582" s="4" t="inlineStr">
        <is>
          <t>515</t>
        </is>
      </c>
      <c r="B582" s="4" t="n">
        <v>5</v>
      </c>
      <c r="C582" s="4" t="inlineStr">
        <is>
          <t>mule deer</t>
        </is>
      </c>
      <c r="D582" s="4" t="n">
        <v>2022</v>
      </c>
      <c r="E582" s="5" t="n"/>
      <c r="F582" s="5" t="n"/>
      <c r="G582" s="5" t="n">
        <v>809</v>
      </c>
      <c r="H582" s="10">
        <f>IF(E582&gt;0,G582/E582,"")</f>
        <v/>
      </c>
      <c r="I582" s="11">
        <f>IF(AND(F582&gt;0,G582&gt;0),F582/G582,"")</f>
        <v/>
      </c>
    </row>
    <row r="583">
      <c r="A583" s="4" t="inlineStr">
        <is>
          <t>515</t>
        </is>
      </c>
      <c r="B583" s="4" t="n">
        <v>5</v>
      </c>
      <c r="C583" s="4" t="inlineStr">
        <is>
          <t>mule deer</t>
        </is>
      </c>
      <c r="D583" s="4" t="n">
        <v>2023</v>
      </c>
      <c r="E583" s="5" t="n">
        <v>2337</v>
      </c>
      <c r="F583" s="5" t="n">
        <v>13017</v>
      </c>
      <c r="G583" s="5" t="n">
        <v>747</v>
      </c>
      <c r="H583" s="10">
        <f>IF(E583&gt;0,G583/E583,"")</f>
        <v/>
      </c>
      <c r="I583" s="11">
        <f>IF(AND(F583&gt;0,G583&gt;0),F583/G583,"")</f>
        <v/>
      </c>
    </row>
    <row r="584">
      <c r="A584" s="4" t="inlineStr">
        <is>
          <t>515</t>
        </is>
      </c>
      <c r="B584" s="4" t="n">
        <v>5</v>
      </c>
      <c r="C584" s="4" t="inlineStr">
        <is>
          <t>mule deer</t>
        </is>
      </c>
      <c r="D584" s="4" t="n">
        <v>2024</v>
      </c>
      <c r="E584" s="5" t="n"/>
      <c r="F584" s="5" t="n"/>
      <c r="G584" s="5" t="n">
        <v>719</v>
      </c>
      <c r="H584" s="10">
        <f>IF(E584&gt;0,G584/E584,"")</f>
        <v/>
      </c>
      <c r="I584" s="11">
        <f>IF(AND(F584&gt;0,G584&gt;0),F584/G584,"")</f>
        <v/>
      </c>
    </row>
    <row r="585">
      <c r="A585" s="4" t="inlineStr">
        <is>
          <t>515</t>
        </is>
      </c>
      <c r="B585" s="4" t="n">
        <v>5</v>
      </c>
      <c r="C585" s="4" t="inlineStr">
        <is>
          <t>mule deer</t>
        </is>
      </c>
      <c r="D585" s="4" t="n">
        <v>2025</v>
      </c>
      <c r="E585" s="5" t="n">
        <v>2329</v>
      </c>
      <c r="F585" s="5" t="n">
        <v>12505</v>
      </c>
      <c r="G585" s="5" t="n">
        <v>680</v>
      </c>
      <c r="H585" s="10">
        <f>IF(E585&gt;0,G585/E585,"")</f>
        <v/>
      </c>
      <c r="I585" s="11">
        <f>IF(AND(F585&gt;0,G585&gt;0),F585/G585,"")</f>
        <v/>
      </c>
    </row>
    <row r="586">
      <c r="A586" s="4" t="inlineStr">
        <is>
          <t>520</t>
        </is>
      </c>
      <c r="B586" s="4" t="n">
        <v>5</v>
      </c>
      <c r="C586" s="4" t="inlineStr">
        <is>
          <t>mule deer</t>
        </is>
      </c>
      <c r="D586" s="4" t="n">
        <v>2021</v>
      </c>
      <c r="E586" s="5" t="n">
        <v>1362</v>
      </c>
      <c r="F586" s="5" t="n">
        <v>7893</v>
      </c>
      <c r="G586" s="5" t="n">
        <v>187</v>
      </c>
      <c r="H586" s="10">
        <f>IF(E586&gt;0,G586/E586,"")</f>
        <v/>
      </c>
      <c r="I586" s="11">
        <f>IF(AND(F586&gt;0,G586&gt;0),F586/G586,"")</f>
        <v/>
      </c>
    </row>
    <row r="587">
      <c r="A587" s="4" t="inlineStr">
        <is>
          <t>525</t>
        </is>
      </c>
      <c r="B587" s="4" t="n">
        <v>5</v>
      </c>
      <c r="C587" s="4" t="inlineStr">
        <is>
          <t>mule deer</t>
        </is>
      </c>
      <c r="D587" s="4" t="n">
        <v>2022</v>
      </c>
      <c r="E587" s="5" t="n"/>
      <c r="F587" s="5" t="n"/>
      <c r="G587" s="5" t="n">
        <v>395</v>
      </c>
      <c r="H587" s="10">
        <f>IF(E587&gt;0,G587/E587,"")</f>
        <v/>
      </c>
      <c r="I587" s="11">
        <f>IF(AND(F587&gt;0,G587&gt;0),F587/G587,"")</f>
        <v/>
      </c>
    </row>
    <row r="588">
      <c r="A588" s="4" t="inlineStr">
        <is>
          <t>525</t>
        </is>
      </c>
      <c r="B588" s="4" t="n">
        <v>5</v>
      </c>
      <c r="C588" s="4" t="inlineStr">
        <is>
          <t>mule deer</t>
        </is>
      </c>
      <c r="D588" s="4" t="n">
        <v>2023</v>
      </c>
      <c r="E588" s="5" t="n">
        <v>2110</v>
      </c>
      <c r="F588" s="5" t="n">
        <v>12779</v>
      </c>
      <c r="G588" s="5" t="n">
        <v>377</v>
      </c>
      <c r="H588" s="10">
        <f>IF(E588&gt;0,G588/E588,"")</f>
        <v/>
      </c>
      <c r="I588" s="11">
        <f>IF(AND(F588&gt;0,G588&gt;0),F588/G588,"")</f>
        <v/>
      </c>
    </row>
    <row r="589">
      <c r="A589" s="4" t="inlineStr">
        <is>
          <t>525</t>
        </is>
      </c>
      <c r="B589" s="4" t="n">
        <v>5</v>
      </c>
      <c r="C589" s="4" t="inlineStr">
        <is>
          <t>mule deer</t>
        </is>
      </c>
      <c r="D589" s="4" t="n">
        <v>2024</v>
      </c>
      <c r="E589" s="5" t="n"/>
      <c r="F589" s="5" t="n"/>
      <c r="G589" s="5" t="n">
        <v>398</v>
      </c>
      <c r="H589" s="10">
        <f>IF(E589&gt;0,G589/E589,"")</f>
        <v/>
      </c>
      <c r="I589" s="11">
        <f>IF(AND(F589&gt;0,G589&gt;0),F589/G589,"")</f>
        <v/>
      </c>
    </row>
    <row r="590">
      <c r="A590" s="4" t="inlineStr">
        <is>
          <t>525</t>
        </is>
      </c>
      <c r="B590" s="4" t="n">
        <v>5</v>
      </c>
      <c r="C590" s="4" t="inlineStr">
        <is>
          <t>mule deer</t>
        </is>
      </c>
      <c r="D590" s="4" t="n">
        <v>2025</v>
      </c>
      <c r="E590" s="5" t="n">
        <v>2334</v>
      </c>
      <c r="F590" s="5" t="n">
        <v>13051</v>
      </c>
      <c r="G590" s="5" t="n">
        <v>484</v>
      </c>
      <c r="H590" s="10">
        <f>IF(E590&gt;0,G590/E590,"")</f>
        <v/>
      </c>
      <c r="I590" s="11">
        <f>IF(AND(F590&gt;0,G590&gt;0),F590/G590,"")</f>
        <v/>
      </c>
    </row>
    <row r="591">
      <c r="A591" s="4" t="inlineStr">
        <is>
          <t>530</t>
        </is>
      </c>
      <c r="B591" s="4" t="n">
        <v>5</v>
      </c>
      <c r="C591" s="4" t="inlineStr">
        <is>
          <t>mule deer</t>
        </is>
      </c>
      <c r="D591" s="4" t="n">
        <v>2021</v>
      </c>
      <c r="E591" s="5" t="n">
        <v>1361</v>
      </c>
      <c r="F591" s="5" t="n">
        <v>6875</v>
      </c>
      <c r="G591" s="5" t="n">
        <v>460</v>
      </c>
      <c r="H591" s="10">
        <f>IF(E591&gt;0,G591/E591,"")</f>
        <v/>
      </c>
      <c r="I591" s="11">
        <f>IF(AND(F591&gt;0,G591&gt;0),F591/G591,"")</f>
        <v/>
      </c>
    </row>
    <row r="592">
      <c r="A592" s="4" t="inlineStr">
        <is>
          <t>535</t>
        </is>
      </c>
      <c r="B592" s="4" t="n">
        <v>5</v>
      </c>
      <c r="C592" s="4" t="inlineStr">
        <is>
          <t>mule deer</t>
        </is>
      </c>
      <c r="D592" s="4" t="n">
        <v>2022</v>
      </c>
      <c r="E592" s="5" t="n"/>
      <c r="F592" s="5" t="n"/>
      <c r="G592" s="5" t="n">
        <v>392</v>
      </c>
      <c r="H592" s="10">
        <f>IF(E592&gt;0,G592/E592,"")</f>
        <v/>
      </c>
      <c r="I592" s="11">
        <f>IF(AND(F592&gt;0,G592&gt;0),F592/G592,"")</f>
        <v/>
      </c>
    </row>
    <row r="593">
      <c r="A593" s="4" t="inlineStr">
        <is>
          <t>535</t>
        </is>
      </c>
      <c r="B593" s="4" t="n">
        <v>5</v>
      </c>
      <c r="C593" s="4" t="inlineStr">
        <is>
          <t>mule deer</t>
        </is>
      </c>
      <c r="D593" s="4" t="n">
        <v>2023</v>
      </c>
      <c r="E593" s="5" t="n">
        <v>1421</v>
      </c>
      <c r="F593" s="5" t="n">
        <v>7337</v>
      </c>
      <c r="G593" s="5" t="n">
        <v>423</v>
      </c>
      <c r="H593" s="10">
        <f>IF(E593&gt;0,G593/E593,"")</f>
        <v/>
      </c>
      <c r="I593" s="11">
        <f>IF(AND(F593&gt;0,G593&gt;0),F593/G593,"")</f>
        <v/>
      </c>
    </row>
    <row r="594">
      <c r="A594" s="4" t="inlineStr">
        <is>
          <t>535</t>
        </is>
      </c>
      <c r="B594" s="4" t="n">
        <v>5</v>
      </c>
      <c r="C594" s="4" t="inlineStr">
        <is>
          <t>mule deer</t>
        </is>
      </c>
      <c r="D594" s="4" t="n">
        <v>2024</v>
      </c>
      <c r="E594" s="5" t="n"/>
      <c r="F594" s="5" t="n"/>
      <c r="G594" s="5" t="n">
        <v>264</v>
      </c>
      <c r="H594" s="10">
        <f>IF(E594&gt;0,G594/E594,"")</f>
        <v/>
      </c>
      <c r="I594" s="11">
        <f>IF(AND(F594&gt;0,G594&gt;0),F594/G594,"")</f>
        <v/>
      </c>
    </row>
    <row r="595">
      <c r="A595" s="4" t="inlineStr">
        <is>
          <t>535</t>
        </is>
      </c>
      <c r="B595" s="4" t="n">
        <v>5</v>
      </c>
      <c r="C595" s="4" t="inlineStr">
        <is>
          <t>mule deer</t>
        </is>
      </c>
      <c r="D595" s="4" t="n">
        <v>2025</v>
      </c>
      <c r="E595" s="5" t="n">
        <v>1219</v>
      </c>
      <c r="F595" s="5" t="n">
        <v>7321</v>
      </c>
      <c r="G595" s="5" t="n">
        <v>311</v>
      </c>
      <c r="H595" s="10">
        <f>IF(E595&gt;0,G595/E595,"")</f>
        <v/>
      </c>
      <c r="I595" s="11">
        <f>IF(AND(F595&gt;0,G595&gt;0),F595/G595,"")</f>
        <v/>
      </c>
    </row>
    <row r="596">
      <c r="A596" s="4" t="inlineStr">
        <is>
          <t>540</t>
        </is>
      </c>
      <c r="B596" s="4" t="n">
        <v>5</v>
      </c>
      <c r="C596" s="4" t="inlineStr">
        <is>
          <t>mule deer</t>
        </is>
      </c>
      <c r="D596" s="4" t="n">
        <v>2021</v>
      </c>
      <c r="E596" s="5" t="n">
        <v>826</v>
      </c>
      <c r="F596" s="5" t="n">
        <v>4844</v>
      </c>
      <c r="G596" s="5" t="n">
        <v>133</v>
      </c>
      <c r="H596" s="10">
        <f>IF(E596&gt;0,G596/E596,"")</f>
        <v/>
      </c>
      <c r="I596" s="11">
        <f>IF(AND(F596&gt;0,G596&gt;0),F596/G596,"")</f>
        <v/>
      </c>
    </row>
    <row r="597">
      <c r="A597" s="4" t="inlineStr">
        <is>
          <t>540</t>
        </is>
      </c>
      <c r="B597" s="4" t="n">
        <v>5</v>
      </c>
      <c r="C597" s="4" t="inlineStr">
        <is>
          <t>mule deer</t>
        </is>
      </c>
      <c r="D597" s="4" t="n">
        <v>2022</v>
      </c>
      <c r="E597" s="5" t="n"/>
      <c r="F597" s="5" t="n"/>
      <c r="G597" s="5" t="n">
        <v>141</v>
      </c>
      <c r="H597" s="10">
        <f>IF(E597&gt;0,G597/E597,"")</f>
        <v/>
      </c>
      <c r="I597" s="11">
        <f>IF(AND(F597&gt;0,G597&gt;0),F597/G597,"")</f>
        <v/>
      </c>
    </row>
    <row r="598">
      <c r="A598" s="4" t="inlineStr">
        <is>
          <t>540</t>
        </is>
      </c>
      <c r="B598" s="4" t="n">
        <v>5</v>
      </c>
      <c r="C598" s="4" t="inlineStr">
        <is>
          <t>mule deer</t>
        </is>
      </c>
      <c r="D598" s="4" t="n">
        <v>2023</v>
      </c>
      <c r="E598" s="5" t="n">
        <v>739</v>
      </c>
      <c r="F598" s="5" t="n">
        <v>4201</v>
      </c>
      <c r="G598" s="5" t="n">
        <v>82</v>
      </c>
      <c r="H598" s="10">
        <f>IF(E598&gt;0,G598/E598,"")</f>
        <v/>
      </c>
      <c r="I598" s="11">
        <f>IF(AND(F598&gt;0,G598&gt;0),F598/G598,"")</f>
        <v/>
      </c>
    </row>
    <row r="599">
      <c r="A599" s="4" t="inlineStr">
        <is>
          <t>540</t>
        </is>
      </c>
      <c r="B599" s="4" t="n">
        <v>5</v>
      </c>
      <c r="C599" s="4" t="inlineStr">
        <is>
          <t>mule deer</t>
        </is>
      </c>
      <c r="D599" s="4" t="n">
        <v>2024</v>
      </c>
      <c r="E599" s="5" t="n"/>
      <c r="F599" s="5" t="n"/>
      <c r="G599" s="5" t="n">
        <v>102</v>
      </c>
      <c r="H599" s="10">
        <f>IF(E599&gt;0,G599/E599,"")</f>
        <v/>
      </c>
      <c r="I599" s="11">
        <f>IF(AND(F599&gt;0,G599&gt;0),F599/G599,"")</f>
        <v/>
      </c>
    </row>
    <row r="600">
      <c r="A600" s="4" t="inlineStr">
        <is>
          <t>540</t>
        </is>
      </c>
      <c r="B600" s="4" t="n">
        <v>5</v>
      </c>
      <c r="C600" s="4" t="inlineStr">
        <is>
          <t>mule deer</t>
        </is>
      </c>
      <c r="D600" s="4" t="n">
        <v>2025</v>
      </c>
      <c r="E600" s="5" t="n">
        <v>859</v>
      </c>
      <c r="F600" s="5" t="n">
        <v>5251</v>
      </c>
      <c r="G600" s="5" t="n">
        <v>123</v>
      </c>
      <c r="H600" s="10">
        <f>IF(E600&gt;0,G600/E600,"")</f>
        <v/>
      </c>
      <c r="I600" s="11">
        <f>IF(AND(F600&gt;0,G600&gt;0),F600/G600,"")</f>
        <v/>
      </c>
    </row>
    <row r="601">
      <c r="A601" s="4" t="inlineStr">
        <is>
          <t>555</t>
        </is>
      </c>
      <c r="B601" s="4" t="n">
        <v>5</v>
      </c>
      <c r="C601" s="4" t="inlineStr">
        <is>
          <t>mule deer</t>
        </is>
      </c>
      <c r="D601" s="4" t="n">
        <v>2022</v>
      </c>
      <c r="E601" s="5" t="n"/>
      <c r="F601" s="5" t="n"/>
      <c r="G601" s="5" t="n">
        <v>106</v>
      </c>
      <c r="H601" s="10">
        <f>IF(E601&gt;0,G601/E601,"")</f>
        <v/>
      </c>
      <c r="I601" s="11">
        <f>IF(AND(F601&gt;0,G601&gt;0),F601/G601,"")</f>
        <v/>
      </c>
    </row>
    <row r="602">
      <c r="A602" s="4" t="inlineStr">
        <is>
          <t>555</t>
        </is>
      </c>
      <c r="B602" s="4" t="n">
        <v>5</v>
      </c>
      <c r="C602" s="4" t="inlineStr">
        <is>
          <t>mule deer</t>
        </is>
      </c>
      <c r="D602" s="4" t="n">
        <v>2023</v>
      </c>
      <c r="E602" s="5" t="n">
        <v>443</v>
      </c>
      <c r="F602" s="5" t="n">
        <v>2480</v>
      </c>
      <c r="G602" s="5" t="n">
        <v>172</v>
      </c>
      <c r="H602" s="10">
        <f>IF(E602&gt;0,G602/E602,"")</f>
        <v/>
      </c>
      <c r="I602" s="11">
        <f>IF(AND(F602&gt;0,G602&gt;0),F602/G602,"")</f>
        <v/>
      </c>
    </row>
    <row r="603">
      <c r="A603" s="4" t="inlineStr">
        <is>
          <t>555</t>
        </is>
      </c>
      <c r="B603" s="4" t="n">
        <v>5</v>
      </c>
      <c r="C603" s="4" t="inlineStr">
        <is>
          <t>mule deer</t>
        </is>
      </c>
      <c r="D603" s="4" t="n">
        <v>2024</v>
      </c>
      <c r="E603" s="5" t="n"/>
      <c r="F603" s="5" t="n"/>
      <c r="G603" s="5" t="n">
        <v>159</v>
      </c>
      <c r="H603" s="10">
        <f>IF(E603&gt;0,G603/E603,"")</f>
        <v/>
      </c>
      <c r="I603" s="11">
        <f>IF(AND(F603&gt;0,G603&gt;0),F603/G603,"")</f>
        <v/>
      </c>
    </row>
    <row r="604">
      <c r="A604" s="4" t="inlineStr">
        <is>
          <t>555</t>
        </is>
      </c>
      <c r="B604" s="4" t="n">
        <v>5</v>
      </c>
      <c r="C604" s="4" t="inlineStr">
        <is>
          <t>mule deer</t>
        </is>
      </c>
      <c r="D604" s="4" t="n">
        <v>2025</v>
      </c>
      <c r="E604" s="5" t="n">
        <v>578</v>
      </c>
      <c r="F604" s="5" t="n">
        <v>3339</v>
      </c>
      <c r="G604" s="5" t="n">
        <v>174</v>
      </c>
      <c r="H604" s="10">
        <f>IF(E604&gt;0,G604/E604,"")</f>
        <v/>
      </c>
      <c r="I604" s="11">
        <f>IF(AND(F604&gt;0,G604&gt;0),F604/G604,"")</f>
        <v/>
      </c>
    </row>
    <row r="605">
      <c r="A605" s="4" t="inlineStr">
        <is>
          <t>560</t>
        </is>
      </c>
      <c r="B605" s="4" t="n">
        <v>5</v>
      </c>
      <c r="C605" s="4" t="inlineStr">
        <is>
          <t>mule deer</t>
        </is>
      </c>
      <c r="D605" s="4" t="n">
        <v>2021</v>
      </c>
      <c r="E605" s="5" t="n">
        <v>1203</v>
      </c>
      <c r="F605" s="5" t="n">
        <v>6185</v>
      </c>
      <c r="G605" s="5" t="n">
        <v>263</v>
      </c>
      <c r="H605" s="10">
        <f>IF(E605&gt;0,G605/E605,"")</f>
        <v/>
      </c>
      <c r="I605" s="11">
        <f>IF(AND(F605&gt;0,G605&gt;0),F605/G605,"")</f>
        <v/>
      </c>
    </row>
    <row r="606">
      <c r="A606" s="4" t="inlineStr">
        <is>
          <t>565</t>
        </is>
      </c>
      <c r="B606" s="4" t="n">
        <v>5</v>
      </c>
      <c r="C606" s="4" t="inlineStr">
        <is>
          <t>mule deer</t>
        </is>
      </c>
      <c r="D606" s="4" t="n">
        <v>2022</v>
      </c>
      <c r="E606" s="5" t="n"/>
      <c r="F606" s="5" t="n"/>
      <c r="G606" s="5" t="n">
        <v>22</v>
      </c>
      <c r="H606" s="10">
        <f>IF(E606&gt;0,G606/E606,"")</f>
        <v/>
      </c>
      <c r="I606" s="11">
        <f>IF(AND(F606&gt;0,G606&gt;0),F606/G606,"")</f>
        <v/>
      </c>
    </row>
    <row r="607">
      <c r="A607" s="4" t="inlineStr">
        <is>
          <t>565</t>
        </is>
      </c>
      <c r="B607" s="4" t="n">
        <v>5</v>
      </c>
      <c r="C607" s="4" t="inlineStr">
        <is>
          <t>mule deer</t>
        </is>
      </c>
      <c r="D607" s="4" t="n">
        <v>2023</v>
      </c>
      <c r="E607" s="5" t="n">
        <v>86</v>
      </c>
      <c r="F607" s="5" t="n">
        <v>510</v>
      </c>
      <c r="G607" s="5" t="n">
        <v>3</v>
      </c>
      <c r="H607" s="10">
        <f>IF(E607&gt;0,G607/E607,"")</f>
        <v/>
      </c>
      <c r="I607" s="11">
        <f>IF(AND(F607&gt;0,G607&gt;0),F607/G607,"")</f>
        <v/>
      </c>
    </row>
    <row r="608">
      <c r="A608" s="4" t="inlineStr">
        <is>
          <t>565</t>
        </is>
      </c>
      <c r="B608" s="4" t="n">
        <v>5</v>
      </c>
      <c r="C608" s="4" t="inlineStr">
        <is>
          <t>mule deer</t>
        </is>
      </c>
      <c r="D608" s="4" t="n">
        <v>2024</v>
      </c>
      <c r="E608" s="5" t="n"/>
      <c r="F608" s="5" t="n"/>
      <c r="G608" s="5" t="n">
        <v>9</v>
      </c>
      <c r="H608" s="10">
        <f>IF(E608&gt;0,G608/E608,"")</f>
        <v/>
      </c>
      <c r="I608" s="11">
        <f>IF(AND(F608&gt;0,G608&gt;0),F608/G608,"")</f>
        <v/>
      </c>
    </row>
    <row r="609">
      <c r="A609" s="4" t="inlineStr">
        <is>
          <t>565</t>
        </is>
      </c>
      <c r="B609" s="4" t="n">
        <v>5</v>
      </c>
      <c r="C609" s="4" t="inlineStr">
        <is>
          <t>mule deer</t>
        </is>
      </c>
      <c r="D609" s="4" t="n">
        <v>2025</v>
      </c>
      <c r="E609" s="5" t="n">
        <v>108</v>
      </c>
      <c r="F609" s="5" t="n">
        <v>704</v>
      </c>
      <c r="G609" s="5" t="n">
        <v>14</v>
      </c>
      <c r="H609" s="10">
        <f>IF(E609&gt;0,G609/E609,"")</f>
        <v/>
      </c>
      <c r="I609" s="11">
        <f>IF(AND(F609&gt;0,G609&gt;0),F609/G609,"")</f>
        <v/>
      </c>
    </row>
    <row r="610">
      <c r="A610" s="4" t="inlineStr">
        <is>
          <t>570</t>
        </is>
      </c>
      <c r="B610" s="4" t="n">
        <v>5</v>
      </c>
      <c r="C610" s="4" t="inlineStr">
        <is>
          <t>mule deer</t>
        </is>
      </c>
      <c r="D610" s="4" t="n">
        <v>2021</v>
      </c>
      <c r="E610" s="5" t="n">
        <v>1206</v>
      </c>
      <c r="F610" s="5" t="n">
        <v>5896</v>
      </c>
      <c r="G610" s="5" t="n">
        <v>312</v>
      </c>
      <c r="H610" s="10">
        <f>IF(E610&gt;0,G610/E610,"")</f>
        <v/>
      </c>
      <c r="I610" s="11">
        <f>IF(AND(F610&gt;0,G610&gt;0),F610/G610,"")</f>
        <v/>
      </c>
    </row>
    <row r="611">
      <c r="A611" s="4" t="inlineStr">
        <is>
          <t>575</t>
        </is>
      </c>
      <c r="B611" s="4" t="n">
        <v>5</v>
      </c>
      <c r="C611" s="4" t="inlineStr">
        <is>
          <t>mule deer</t>
        </is>
      </c>
      <c r="D611" s="4" t="n">
        <v>2021</v>
      </c>
      <c r="E611" s="5" t="n">
        <v>1731</v>
      </c>
      <c r="F611" s="5" t="n">
        <v>9393</v>
      </c>
      <c r="G611" s="5" t="n">
        <v>660</v>
      </c>
      <c r="H611" s="10">
        <f>IF(E611&gt;0,G611/E611,"")</f>
        <v/>
      </c>
      <c r="I611" s="11">
        <f>IF(AND(F611&gt;0,G611&gt;0),F611/G611,"")</f>
        <v/>
      </c>
    </row>
    <row r="612">
      <c r="A612" s="4" t="inlineStr">
        <is>
          <t>575</t>
        </is>
      </c>
      <c r="B612" s="4" t="n">
        <v>5</v>
      </c>
      <c r="C612" s="4" t="inlineStr">
        <is>
          <t>mule deer</t>
        </is>
      </c>
      <c r="D612" s="4" t="n">
        <v>2022</v>
      </c>
      <c r="E612" s="5" t="n"/>
      <c r="F612" s="5" t="n"/>
      <c r="G612" s="5" t="n">
        <v>654</v>
      </c>
      <c r="H612" s="10">
        <f>IF(E612&gt;0,G612/E612,"")</f>
        <v/>
      </c>
      <c r="I612" s="11">
        <f>IF(AND(F612&gt;0,G612&gt;0),F612/G612,"")</f>
        <v/>
      </c>
    </row>
    <row r="613">
      <c r="A613" s="4" t="inlineStr">
        <is>
          <t>575</t>
        </is>
      </c>
      <c r="B613" s="4" t="n">
        <v>5</v>
      </c>
      <c r="C613" s="4" t="inlineStr">
        <is>
          <t>mule deer</t>
        </is>
      </c>
      <c r="D613" s="4" t="n">
        <v>2023</v>
      </c>
      <c r="E613" s="5" t="n">
        <v>1970</v>
      </c>
      <c r="F613" s="5" t="n">
        <v>11695</v>
      </c>
      <c r="G613" s="5" t="n">
        <v>612</v>
      </c>
      <c r="H613" s="10">
        <f>IF(E613&gt;0,G613/E613,"")</f>
        <v/>
      </c>
      <c r="I613" s="11">
        <f>IF(AND(F613&gt;0,G613&gt;0),F613/G613,"")</f>
        <v/>
      </c>
    </row>
    <row r="614">
      <c r="A614" s="4" t="inlineStr">
        <is>
          <t>575</t>
        </is>
      </c>
      <c r="B614" s="4" t="n">
        <v>5</v>
      </c>
      <c r="C614" s="4" t="inlineStr">
        <is>
          <t>mule deer</t>
        </is>
      </c>
      <c r="D614" s="4" t="n">
        <v>2024</v>
      </c>
      <c r="E614" s="5" t="n"/>
      <c r="F614" s="5" t="n"/>
      <c r="G614" s="5" t="n">
        <v>659</v>
      </c>
      <c r="H614" s="10">
        <f>IF(E614&gt;0,G614/E614,"")</f>
        <v/>
      </c>
      <c r="I614" s="11">
        <f>IF(AND(F614&gt;0,G614&gt;0),F614/G614,"")</f>
        <v/>
      </c>
    </row>
    <row r="615">
      <c r="A615" s="4" t="inlineStr">
        <is>
          <t>575</t>
        </is>
      </c>
      <c r="B615" s="4" t="n">
        <v>5</v>
      </c>
      <c r="C615" s="4" t="inlineStr">
        <is>
          <t>mule deer</t>
        </is>
      </c>
      <c r="D615" s="4" t="n">
        <v>2025</v>
      </c>
      <c r="E615" s="5" t="n">
        <v>2007</v>
      </c>
      <c r="F615" s="5" t="n">
        <v>11128</v>
      </c>
      <c r="G615" s="5" t="n">
        <v>609</v>
      </c>
      <c r="H615" s="10">
        <f>IF(E615&gt;0,G615/E615,"")</f>
        <v/>
      </c>
      <c r="I615" s="11">
        <f>IF(AND(F615&gt;0,G615&gt;0),F615/G615,"")</f>
        <v/>
      </c>
    </row>
    <row r="616">
      <c r="A616" s="4" t="inlineStr">
        <is>
          <t>580</t>
        </is>
      </c>
      <c r="B616" s="4" t="n">
        <v>5</v>
      </c>
      <c r="C616" s="4" t="inlineStr">
        <is>
          <t>mule deer</t>
        </is>
      </c>
      <c r="D616" s="4" t="n">
        <v>2021</v>
      </c>
      <c r="E616" s="5" t="n">
        <v>1137</v>
      </c>
      <c r="F616" s="5" t="n">
        <v>5129</v>
      </c>
      <c r="G616" s="5" t="n">
        <v>197</v>
      </c>
      <c r="H616" s="10">
        <f>IF(E616&gt;0,G616/E616,"")</f>
        <v/>
      </c>
      <c r="I616" s="11">
        <f>IF(AND(F616&gt;0,G616&gt;0),F616/G616,"")</f>
        <v/>
      </c>
    </row>
    <row r="617">
      <c r="A617" s="4" t="inlineStr">
        <is>
          <t>580</t>
        </is>
      </c>
      <c r="B617" s="4" t="n">
        <v>5</v>
      </c>
      <c r="C617" s="4" t="inlineStr">
        <is>
          <t>mule deer</t>
        </is>
      </c>
      <c r="D617" s="4" t="n">
        <v>2022</v>
      </c>
      <c r="E617" s="5" t="n"/>
      <c r="F617" s="5" t="n"/>
      <c r="G617" s="5" t="n">
        <v>226</v>
      </c>
      <c r="H617" s="10">
        <f>IF(E617&gt;0,G617/E617,"")</f>
        <v/>
      </c>
      <c r="I617" s="11">
        <f>IF(AND(F617&gt;0,G617&gt;0),F617/G617,"")</f>
        <v/>
      </c>
    </row>
    <row r="618">
      <c r="A618" s="4" t="inlineStr">
        <is>
          <t>580</t>
        </is>
      </c>
      <c r="B618" s="4" t="n">
        <v>5</v>
      </c>
      <c r="C618" s="4" t="inlineStr">
        <is>
          <t>mule deer</t>
        </is>
      </c>
      <c r="D618" s="4" t="n">
        <v>2023</v>
      </c>
      <c r="E618" s="5" t="n">
        <v>1145</v>
      </c>
      <c r="F618" s="5" t="n">
        <v>5774</v>
      </c>
      <c r="G618" s="5" t="n">
        <v>204</v>
      </c>
      <c r="H618" s="10">
        <f>IF(E618&gt;0,G618/E618,"")</f>
        <v/>
      </c>
      <c r="I618" s="11">
        <f>IF(AND(F618&gt;0,G618&gt;0),F618/G618,"")</f>
        <v/>
      </c>
    </row>
    <row r="619">
      <c r="A619" s="4" t="inlineStr">
        <is>
          <t>580</t>
        </is>
      </c>
      <c r="B619" s="4" t="n">
        <v>5</v>
      </c>
      <c r="C619" s="4" t="inlineStr">
        <is>
          <t>mule deer</t>
        </is>
      </c>
      <c r="D619" s="4" t="n">
        <v>2024</v>
      </c>
      <c r="E619" s="5" t="n"/>
      <c r="F619" s="5" t="n"/>
      <c r="G619" s="5" t="n">
        <v>217</v>
      </c>
      <c r="H619" s="10">
        <f>IF(E619&gt;0,G619/E619,"")</f>
        <v/>
      </c>
      <c r="I619" s="11">
        <f>IF(AND(F619&gt;0,G619&gt;0),F619/G619,"")</f>
        <v/>
      </c>
    </row>
    <row r="620">
      <c r="A620" s="4" t="inlineStr">
        <is>
          <t>580</t>
        </is>
      </c>
      <c r="B620" s="4" t="n">
        <v>5</v>
      </c>
      <c r="C620" s="4" t="inlineStr">
        <is>
          <t>mule deer</t>
        </is>
      </c>
      <c r="D620" s="4" t="n">
        <v>2025</v>
      </c>
      <c r="E620" s="5" t="n">
        <v>1399</v>
      </c>
      <c r="F620" s="5" t="n">
        <v>7790</v>
      </c>
      <c r="G620" s="5" t="n">
        <v>231</v>
      </c>
      <c r="H620" s="10">
        <f>IF(E620&gt;0,G620/E620,"")</f>
        <v/>
      </c>
      <c r="I620" s="11">
        <f>IF(AND(F620&gt;0,G620&gt;0),F620/G620,"")</f>
        <v/>
      </c>
    </row>
    <row r="621">
      <c r="A621" s="4" t="inlineStr">
        <is>
          <t>590</t>
        </is>
      </c>
      <c r="B621" s="4" t="n">
        <v>5</v>
      </c>
      <c r="C621" s="4" t="inlineStr">
        <is>
          <t>mule deer</t>
        </is>
      </c>
      <c r="D621" s="4" t="n">
        <v>2021</v>
      </c>
      <c r="E621" s="5" t="n">
        <v>3920</v>
      </c>
      <c r="F621" s="5" t="n">
        <v>24128</v>
      </c>
      <c r="G621" s="5" t="n">
        <v>1001</v>
      </c>
      <c r="H621" s="10">
        <f>IF(E621&gt;0,G621/E621,"")</f>
        <v/>
      </c>
      <c r="I621" s="11">
        <f>IF(AND(F621&gt;0,G621&gt;0),F621/G621,"")</f>
        <v/>
      </c>
    </row>
    <row r="622">
      <c r="A622" s="4" t="inlineStr">
        <is>
          <t>590</t>
        </is>
      </c>
      <c r="B622" s="4" t="n">
        <v>5</v>
      </c>
      <c r="C622" s="4" t="inlineStr">
        <is>
          <t>mule deer</t>
        </is>
      </c>
      <c r="D622" s="4" t="n">
        <v>2022</v>
      </c>
      <c r="E622" s="5" t="n"/>
      <c r="F622" s="5" t="n"/>
      <c r="G622" s="5" t="n">
        <v>1034</v>
      </c>
      <c r="H622" s="10">
        <f>IF(E622&gt;0,G622/E622,"")</f>
        <v/>
      </c>
      <c r="I622" s="11">
        <f>IF(AND(F622&gt;0,G622&gt;0),F622/G622,"")</f>
        <v/>
      </c>
    </row>
    <row r="623">
      <c r="A623" s="4" t="inlineStr">
        <is>
          <t>590</t>
        </is>
      </c>
      <c r="B623" s="4" t="n">
        <v>5</v>
      </c>
      <c r="C623" s="4" t="inlineStr">
        <is>
          <t>mule deer</t>
        </is>
      </c>
      <c r="D623" s="4" t="n">
        <v>2023</v>
      </c>
      <c r="E623" s="5" t="n">
        <v>3941</v>
      </c>
      <c r="F623" s="5" t="n">
        <v>23209</v>
      </c>
      <c r="G623" s="5" t="n">
        <v>1033</v>
      </c>
      <c r="H623" s="10">
        <f>IF(E623&gt;0,G623/E623,"")</f>
        <v/>
      </c>
      <c r="I623" s="11">
        <f>IF(AND(F623&gt;0,G623&gt;0),F623/G623,"")</f>
        <v/>
      </c>
    </row>
    <row r="624">
      <c r="A624" s="4" t="inlineStr">
        <is>
          <t>590</t>
        </is>
      </c>
      <c r="B624" s="4" t="n">
        <v>5</v>
      </c>
      <c r="C624" s="4" t="inlineStr">
        <is>
          <t>mule deer</t>
        </is>
      </c>
      <c r="D624" s="4" t="n">
        <v>2024</v>
      </c>
      <c r="E624" s="5" t="n"/>
      <c r="F624" s="5" t="n"/>
      <c r="G624" s="5" t="n">
        <v>957</v>
      </c>
      <c r="H624" s="10">
        <f>IF(E624&gt;0,G624/E624,"")</f>
        <v/>
      </c>
      <c r="I624" s="11">
        <f>IF(AND(F624&gt;0,G624&gt;0),F624/G624,"")</f>
        <v/>
      </c>
    </row>
    <row r="625">
      <c r="A625" s="4" t="inlineStr">
        <is>
          <t>590</t>
        </is>
      </c>
      <c r="B625" s="4" t="n">
        <v>5</v>
      </c>
      <c r="C625" s="4" t="inlineStr">
        <is>
          <t>mule deer</t>
        </is>
      </c>
      <c r="D625" s="4" t="n">
        <v>2025</v>
      </c>
      <c r="E625" s="5" t="n">
        <v>3919</v>
      </c>
      <c r="F625" s="5" t="n">
        <v>24766</v>
      </c>
      <c r="G625" s="5" t="n">
        <v>1003</v>
      </c>
      <c r="H625" s="10">
        <f>IF(E625&gt;0,G625/E625,"")</f>
        <v/>
      </c>
      <c r="I625" s="11">
        <f>IF(AND(F625&gt;0,G625&gt;0),F625/G625,"")</f>
        <v/>
      </c>
    </row>
    <row r="626">
      <c r="A626" s="4" t="inlineStr">
        <is>
          <t>600</t>
        </is>
      </c>
      <c r="B626" s="4" t="n">
        <v>6</v>
      </c>
      <c r="C626" s="4" t="inlineStr">
        <is>
          <t>mule deer</t>
        </is>
      </c>
      <c r="D626" s="4" t="n">
        <v>2021</v>
      </c>
      <c r="E626" s="5" t="n">
        <v>2272</v>
      </c>
      <c r="F626" s="5" t="n">
        <v>12924</v>
      </c>
      <c r="G626" s="5" t="n">
        <v>1352</v>
      </c>
      <c r="H626" s="10">
        <f>IF(E626&gt;0,G626/E626,"")</f>
        <v/>
      </c>
      <c r="I626" s="11">
        <f>IF(AND(F626&gt;0,G626&gt;0),F626/G626,"")</f>
        <v/>
      </c>
    </row>
    <row r="627">
      <c r="A627" s="4" t="inlineStr">
        <is>
          <t>600</t>
        </is>
      </c>
      <c r="B627" s="4" t="n">
        <v>6</v>
      </c>
      <c r="C627" s="4" t="inlineStr">
        <is>
          <t>mule deer</t>
        </is>
      </c>
      <c r="D627" s="4" t="n">
        <v>2022</v>
      </c>
      <c r="E627" s="5" t="n"/>
      <c r="F627" s="5" t="n"/>
      <c r="G627" s="5" t="n">
        <v>999</v>
      </c>
      <c r="H627" s="10">
        <f>IF(E627&gt;0,G627/E627,"")</f>
        <v/>
      </c>
      <c r="I627" s="11">
        <f>IF(AND(F627&gt;0,G627&gt;0),F627/G627,"")</f>
        <v/>
      </c>
    </row>
    <row r="628">
      <c r="A628" s="4" t="inlineStr">
        <is>
          <t>600</t>
        </is>
      </c>
      <c r="B628" s="4" t="n">
        <v>6</v>
      </c>
      <c r="C628" s="4" t="inlineStr">
        <is>
          <t>mule deer</t>
        </is>
      </c>
      <c r="D628" s="4" t="n">
        <v>2023</v>
      </c>
      <c r="E628" s="5" t="n">
        <v>2398</v>
      </c>
      <c r="F628" s="5" t="n">
        <v>14035</v>
      </c>
      <c r="G628" s="5" t="n">
        <v>1021</v>
      </c>
      <c r="H628" s="10">
        <f>IF(E628&gt;0,G628/E628,"")</f>
        <v/>
      </c>
      <c r="I628" s="11">
        <f>IF(AND(F628&gt;0,G628&gt;0),F628/G628,"")</f>
        <v/>
      </c>
    </row>
    <row r="629">
      <c r="A629" s="4" t="inlineStr">
        <is>
          <t>600</t>
        </is>
      </c>
      <c r="B629" s="4" t="n">
        <v>6</v>
      </c>
      <c r="C629" s="4" t="inlineStr">
        <is>
          <t>mule deer</t>
        </is>
      </c>
      <c r="D629" s="4" t="n">
        <v>2024</v>
      </c>
      <c r="E629" s="5" t="n"/>
      <c r="F629" s="5" t="n"/>
      <c r="G629" s="5" t="n">
        <v>865</v>
      </c>
      <c r="H629" s="10">
        <f>IF(E629&gt;0,G629/E629,"")</f>
        <v/>
      </c>
      <c r="I629" s="11">
        <f>IF(AND(F629&gt;0,G629&gt;0),F629/G629,"")</f>
        <v/>
      </c>
    </row>
    <row r="630">
      <c r="A630" s="4" t="inlineStr">
        <is>
          <t>600</t>
        </is>
      </c>
      <c r="B630" s="4" t="n">
        <v>6</v>
      </c>
      <c r="C630" s="4" t="inlineStr">
        <is>
          <t>mule deer</t>
        </is>
      </c>
      <c r="D630" s="4" t="n">
        <v>2025</v>
      </c>
      <c r="E630" s="5" t="n">
        <v>1998</v>
      </c>
      <c r="F630" s="5" t="n">
        <v>10849</v>
      </c>
      <c r="G630" s="5" t="n">
        <v>783</v>
      </c>
      <c r="H630" s="10">
        <f>IF(E630&gt;0,G630/E630,"")</f>
        <v/>
      </c>
      <c r="I630" s="11">
        <f>IF(AND(F630&gt;0,G630&gt;0),F630/G630,"")</f>
        <v/>
      </c>
    </row>
    <row r="631">
      <c r="A631" s="4" t="inlineStr">
        <is>
          <t>620</t>
        </is>
      </c>
      <c r="B631" s="4" t="n">
        <v>6</v>
      </c>
      <c r="C631" s="4" t="inlineStr">
        <is>
          <t>mule deer</t>
        </is>
      </c>
      <c r="D631" s="4" t="n">
        <v>2021</v>
      </c>
      <c r="E631" s="5" t="n">
        <v>1760</v>
      </c>
      <c r="F631" s="5" t="n">
        <v>9970</v>
      </c>
      <c r="G631" s="5" t="n">
        <v>958</v>
      </c>
      <c r="H631" s="10">
        <f>IF(E631&gt;0,G631/E631,"")</f>
        <v/>
      </c>
      <c r="I631" s="11">
        <f>IF(AND(F631&gt;0,G631&gt;0),F631/G631,"")</f>
        <v/>
      </c>
    </row>
    <row r="632">
      <c r="A632" s="4" t="inlineStr">
        <is>
          <t>620</t>
        </is>
      </c>
      <c r="B632" s="4" t="n">
        <v>6</v>
      </c>
      <c r="C632" s="4" t="inlineStr">
        <is>
          <t>mule deer</t>
        </is>
      </c>
      <c r="D632" s="4" t="n">
        <v>2022</v>
      </c>
      <c r="E632" s="5" t="n"/>
      <c r="F632" s="5" t="n"/>
      <c r="G632" s="5" t="n">
        <v>556</v>
      </c>
      <c r="H632" s="10">
        <f>IF(E632&gt;0,G632/E632,"")</f>
        <v/>
      </c>
      <c r="I632" s="11">
        <f>IF(AND(F632&gt;0,G632&gt;0),F632/G632,"")</f>
        <v/>
      </c>
    </row>
    <row r="633">
      <c r="A633" s="4" t="inlineStr">
        <is>
          <t>620</t>
        </is>
      </c>
      <c r="B633" s="4" t="n">
        <v>6</v>
      </c>
      <c r="C633" s="4" t="inlineStr">
        <is>
          <t>mule deer</t>
        </is>
      </c>
      <c r="D633" s="4" t="n">
        <v>2023</v>
      </c>
      <c r="E633" s="5" t="n">
        <v>1326</v>
      </c>
      <c r="F633" s="5" t="n">
        <v>7199</v>
      </c>
      <c r="G633" s="5" t="n">
        <v>474</v>
      </c>
      <c r="H633" s="10">
        <f>IF(E633&gt;0,G633/E633,"")</f>
        <v/>
      </c>
      <c r="I633" s="11">
        <f>IF(AND(F633&gt;0,G633&gt;0),F633/G633,"")</f>
        <v/>
      </c>
    </row>
    <row r="634">
      <c r="A634" s="4" t="inlineStr">
        <is>
          <t>620</t>
        </is>
      </c>
      <c r="B634" s="4" t="n">
        <v>6</v>
      </c>
      <c r="C634" s="4" t="inlineStr">
        <is>
          <t>mule deer</t>
        </is>
      </c>
      <c r="D634" s="4" t="n">
        <v>2024</v>
      </c>
      <c r="E634" s="5" t="n"/>
      <c r="F634" s="5" t="n"/>
      <c r="G634" s="5" t="n">
        <v>332</v>
      </c>
      <c r="H634" s="10">
        <f>IF(E634&gt;0,G634/E634,"")</f>
        <v/>
      </c>
      <c r="I634" s="11">
        <f>IF(AND(F634&gt;0,G634&gt;0),F634/G634,"")</f>
        <v/>
      </c>
    </row>
    <row r="635">
      <c r="A635" s="4" t="inlineStr">
        <is>
          <t>620</t>
        </is>
      </c>
      <c r="B635" s="4" t="n">
        <v>6</v>
      </c>
      <c r="C635" s="4" t="inlineStr">
        <is>
          <t>mule deer</t>
        </is>
      </c>
      <c r="D635" s="4" t="n">
        <v>2025</v>
      </c>
      <c r="E635" s="5" t="n">
        <v>1199</v>
      </c>
      <c r="F635" s="5" t="n">
        <v>6966</v>
      </c>
      <c r="G635" s="5" t="n">
        <v>392</v>
      </c>
      <c r="H635" s="10">
        <f>IF(E635&gt;0,G635/E635,"")</f>
        <v/>
      </c>
      <c r="I635" s="11">
        <f>IF(AND(F635&gt;0,G635&gt;0),F635/G635,"")</f>
        <v/>
      </c>
    </row>
    <row r="636">
      <c r="A636" s="4" t="inlineStr">
        <is>
          <t>621</t>
        </is>
      </c>
      <c r="B636" s="4" t="n">
        <v>6</v>
      </c>
      <c r="C636" s="4" t="inlineStr">
        <is>
          <t>mule deer</t>
        </is>
      </c>
      <c r="D636" s="4" t="n">
        <v>2021</v>
      </c>
      <c r="E636" s="5" t="n">
        <v>1035</v>
      </c>
      <c r="F636" s="5" t="n">
        <v>5980</v>
      </c>
      <c r="G636" s="5" t="n">
        <v>403</v>
      </c>
      <c r="H636" s="10">
        <f>IF(E636&gt;0,G636/E636,"")</f>
        <v/>
      </c>
      <c r="I636" s="11">
        <f>IF(AND(F636&gt;0,G636&gt;0),F636/G636,"")</f>
        <v/>
      </c>
    </row>
    <row r="637">
      <c r="A637" s="4" t="inlineStr">
        <is>
          <t>621</t>
        </is>
      </c>
      <c r="B637" s="4" t="n">
        <v>6</v>
      </c>
      <c r="C637" s="4" t="inlineStr">
        <is>
          <t>mule deer</t>
        </is>
      </c>
      <c r="D637" s="4" t="n">
        <v>2022</v>
      </c>
      <c r="E637" s="5" t="n"/>
      <c r="F637" s="5" t="n"/>
      <c r="G637" s="5" t="n">
        <v>218</v>
      </c>
      <c r="H637" s="10">
        <f>IF(E637&gt;0,G637/E637,"")</f>
        <v/>
      </c>
      <c r="I637" s="11">
        <f>IF(AND(F637&gt;0,G637&gt;0),F637/G637,"")</f>
        <v/>
      </c>
    </row>
    <row r="638">
      <c r="A638" s="4" t="inlineStr">
        <is>
          <t>621</t>
        </is>
      </c>
      <c r="B638" s="4" t="n">
        <v>6</v>
      </c>
      <c r="C638" s="4" t="inlineStr">
        <is>
          <t>mule deer</t>
        </is>
      </c>
      <c r="D638" s="4" t="n">
        <v>2023</v>
      </c>
      <c r="E638" s="5" t="n">
        <v>824</v>
      </c>
      <c r="F638" s="5" t="n">
        <v>4743</v>
      </c>
      <c r="G638" s="5" t="n">
        <v>242</v>
      </c>
      <c r="H638" s="10">
        <f>IF(E638&gt;0,G638/E638,"")</f>
        <v/>
      </c>
      <c r="I638" s="11">
        <f>IF(AND(F638&gt;0,G638&gt;0),F638/G638,"")</f>
        <v/>
      </c>
    </row>
    <row r="639">
      <c r="A639" s="4" t="inlineStr">
        <is>
          <t>621</t>
        </is>
      </c>
      <c r="B639" s="4" t="n">
        <v>6</v>
      </c>
      <c r="C639" s="4" t="inlineStr">
        <is>
          <t>mule deer</t>
        </is>
      </c>
      <c r="D639" s="4" t="n">
        <v>2024</v>
      </c>
      <c r="E639" s="5" t="n"/>
      <c r="F639" s="5" t="n"/>
      <c r="G639" s="5" t="n">
        <v>260</v>
      </c>
      <c r="H639" s="10">
        <f>IF(E639&gt;0,G639/E639,"")</f>
        <v/>
      </c>
      <c r="I639" s="11">
        <f>IF(AND(F639&gt;0,G639&gt;0),F639/G639,"")</f>
        <v/>
      </c>
    </row>
    <row r="640">
      <c r="A640" s="4" t="inlineStr">
        <is>
          <t>621</t>
        </is>
      </c>
      <c r="B640" s="4" t="n">
        <v>6</v>
      </c>
      <c r="C640" s="4" t="inlineStr">
        <is>
          <t>mule deer</t>
        </is>
      </c>
      <c r="D640" s="4" t="n">
        <v>2025</v>
      </c>
      <c r="E640" s="5" t="n">
        <v>764</v>
      </c>
      <c r="F640" s="5" t="n">
        <v>5003</v>
      </c>
      <c r="G640" s="5" t="n">
        <v>229</v>
      </c>
      <c r="H640" s="10">
        <f>IF(E640&gt;0,G640/E640,"")</f>
        <v/>
      </c>
      <c r="I640" s="11">
        <f>IF(AND(F640&gt;0,G640&gt;0),F640/G640,"")</f>
        <v/>
      </c>
    </row>
    <row r="641">
      <c r="A641" s="4" t="inlineStr">
        <is>
          <t>622</t>
        </is>
      </c>
      <c r="B641" s="4" t="n">
        <v>6</v>
      </c>
      <c r="C641" s="4" t="inlineStr">
        <is>
          <t>mule deer</t>
        </is>
      </c>
      <c r="D641" s="4" t="n">
        <v>2021</v>
      </c>
      <c r="E641" s="5" t="n">
        <v>633</v>
      </c>
      <c r="F641" s="5" t="n">
        <v>3156</v>
      </c>
      <c r="G641" s="5" t="n">
        <v>250</v>
      </c>
      <c r="H641" s="10">
        <f>IF(E641&gt;0,G641/E641,"")</f>
        <v/>
      </c>
      <c r="I641" s="11">
        <f>IF(AND(F641&gt;0,G641&gt;0),F641/G641,"")</f>
        <v/>
      </c>
    </row>
    <row r="642">
      <c r="A642" s="4" t="inlineStr">
        <is>
          <t>622</t>
        </is>
      </c>
      <c r="B642" s="4" t="n">
        <v>6</v>
      </c>
      <c r="C642" s="4" t="inlineStr">
        <is>
          <t>mule deer</t>
        </is>
      </c>
      <c r="D642" s="4" t="n">
        <v>2022</v>
      </c>
      <c r="E642" s="5" t="n"/>
      <c r="F642" s="5" t="n"/>
      <c r="G642" s="5" t="n">
        <v>124</v>
      </c>
      <c r="H642" s="10">
        <f>IF(E642&gt;0,G642/E642,"")</f>
        <v/>
      </c>
      <c r="I642" s="11">
        <f>IF(AND(F642&gt;0,G642&gt;0),F642/G642,"")</f>
        <v/>
      </c>
    </row>
    <row r="643">
      <c r="A643" s="4" t="inlineStr">
        <is>
          <t>622</t>
        </is>
      </c>
      <c r="B643" s="4" t="n">
        <v>6</v>
      </c>
      <c r="C643" s="4" t="inlineStr">
        <is>
          <t>mule deer</t>
        </is>
      </c>
      <c r="D643" s="4" t="n">
        <v>2023</v>
      </c>
      <c r="E643" s="5" t="n">
        <v>475</v>
      </c>
      <c r="F643" s="5" t="n">
        <v>2343</v>
      </c>
      <c r="G643" s="5" t="n">
        <v>167</v>
      </c>
      <c r="H643" s="10">
        <f>IF(E643&gt;0,G643/E643,"")</f>
        <v/>
      </c>
      <c r="I643" s="11">
        <f>IF(AND(F643&gt;0,G643&gt;0),F643/G643,"")</f>
        <v/>
      </c>
    </row>
    <row r="644">
      <c r="A644" s="4" t="inlineStr">
        <is>
          <t>622</t>
        </is>
      </c>
      <c r="B644" s="4" t="n">
        <v>6</v>
      </c>
      <c r="C644" s="4" t="inlineStr">
        <is>
          <t>mule deer</t>
        </is>
      </c>
      <c r="D644" s="4" t="n">
        <v>2024</v>
      </c>
      <c r="E644" s="5" t="n"/>
      <c r="F644" s="5" t="n"/>
      <c r="G644" s="5" t="n">
        <v>127</v>
      </c>
      <c r="H644" s="10">
        <f>IF(E644&gt;0,G644/E644,"")</f>
        <v/>
      </c>
      <c r="I644" s="11">
        <f>IF(AND(F644&gt;0,G644&gt;0),F644/G644,"")</f>
        <v/>
      </c>
    </row>
    <row r="645">
      <c r="A645" s="4" t="inlineStr">
        <is>
          <t>622</t>
        </is>
      </c>
      <c r="B645" s="4" t="n">
        <v>6</v>
      </c>
      <c r="C645" s="4" t="inlineStr">
        <is>
          <t>mule deer</t>
        </is>
      </c>
      <c r="D645" s="4" t="n">
        <v>2025</v>
      </c>
      <c r="E645" s="5" t="n">
        <v>434</v>
      </c>
      <c r="F645" s="5" t="n">
        <v>2493</v>
      </c>
      <c r="G645" s="5" t="n">
        <v>75</v>
      </c>
      <c r="H645" s="10">
        <f>IF(E645&gt;0,G645/E645,"")</f>
        <v/>
      </c>
      <c r="I645" s="11">
        <f>IF(AND(F645&gt;0,G645&gt;0),F645/G645,"")</f>
        <v/>
      </c>
    </row>
    <row r="646">
      <c r="A646" s="4" t="inlineStr">
        <is>
          <t>630</t>
        </is>
      </c>
      <c r="B646" s="4" t="n">
        <v>6</v>
      </c>
      <c r="C646" s="4" t="inlineStr">
        <is>
          <t>mule deer</t>
        </is>
      </c>
      <c r="D646" s="4" t="n">
        <v>2021</v>
      </c>
      <c r="E646" s="5" t="n">
        <v>1931</v>
      </c>
      <c r="F646" s="5" t="n">
        <v>10362</v>
      </c>
      <c r="G646" s="5" t="n">
        <v>1101</v>
      </c>
      <c r="H646" s="10">
        <f>IF(E646&gt;0,G646/E646,"")</f>
        <v/>
      </c>
      <c r="I646" s="11">
        <f>IF(AND(F646&gt;0,G646&gt;0),F646/G646,"")</f>
        <v/>
      </c>
    </row>
    <row r="647">
      <c r="A647" s="4" t="inlineStr">
        <is>
          <t>630</t>
        </is>
      </c>
      <c r="B647" s="4" t="n">
        <v>6</v>
      </c>
      <c r="C647" s="4" t="inlineStr">
        <is>
          <t>mule deer</t>
        </is>
      </c>
      <c r="D647" s="4" t="n">
        <v>2022</v>
      </c>
      <c r="E647" s="5" t="n"/>
      <c r="F647" s="5" t="n"/>
      <c r="G647" s="5" t="n">
        <v>811</v>
      </c>
      <c r="H647" s="10">
        <f>IF(E647&gt;0,G647/E647,"")</f>
        <v/>
      </c>
      <c r="I647" s="11">
        <f>IF(AND(F647&gt;0,G647&gt;0),F647/G647,"")</f>
        <v/>
      </c>
    </row>
    <row r="648">
      <c r="A648" s="4" t="inlineStr">
        <is>
          <t>630</t>
        </is>
      </c>
      <c r="B648" s="4" t="n">
        <v>6</v>
      </c>
      <c r="C648" s="4" t="inlineStr">
        <is>
          <t>mule deer</t>
        </is>
      </c>
      <c r="D648" s="4" t="n">
        <v>2023</v>
      </c>
      <c r="E648" s="5" t="n">
        <v>1964</v>
      </c>
      <c r="F648" s="5" t="n">
        <v>10722</v>
      </c>
      <c r="G648" s="5" t="n">
        <v>954</v>
      </c>
      <c r="H648" s="10">
        <f>IF(E648&gt;0,G648/E648,"")</f>
        <v/>
      </c>
      <c r="I648" s="11">
        <f>IF(AND(F648&gt;0,G648&gt;0),F648/G648,"")</f>
        <v/>
      </c>
    </row>
    <row r="649">
      <c r="A649" s="4" t="inlineStr">
        <is>
          <t>630</t>
        </is>
      </c>
      <c r="B649" s="4" t="n">
        <v>6</v>
      </c>
      <c r="C649" s="4" t="inlineStr">
        <is>
          <t>mule deer</t>
        </is>
      </c>
      <c r="D649" s="4" t="n">
        <v>2024</v>
      </c>
      <c r="E649" s="5" t="n"/>
      <c r="F649" s="5" t="n"/>
      <c r="G649" s="5" t="n">
        <v>654</v>
      </c>
      <c r="H649" s="10">
        <f>IF(E649&gt;0,G649/E649,"")</f>
        <v/>
      </c>
      <c r="I649" s="11">
        <f>IF(AND(F649&gt;0,G649&gt;0),F649/G649,"")</f>
        <v/>
      </c>
    </row>
    <row r="650">
      <c r="A650" s="4" t="inlineStr">
        <is>
          <t>630</t>
        </is>
      </c>
      <c r="B650" s="4" t="n">
        <v>6</v>
      </c>
      <c r="C650" s="4" t="inlineStr">
        <is>
          <t>mule deer</t>
        </is>
      </c>
      <c r="D650" s="4" t="n">
        <v>2025</v>
      </c>
      <c r="E650" s="5" t="n">
        <v>1664</v>
      </c>
      <c r="F650" s="5" t="n">
        <v>11316</v>
      </c>
      <c r="G650" s="5" t="n">
        <v>598</v>
      </c>
      <c r="H650" s="10">
        <f>IF(E650&gt;0,G650/E650,"")</f>
        <v/>
      </c>
      <c r="I650" s="11">
        <f>IF(AND(F650&gt;0,G650&gt;0),F650/G650,"")</f>
        <v/>
      </c>
    </row>
    <row r="651">
      <c r="A651" s="4" t="inlineStr">
        <is>
          <t>631</t>
        </is>
      </c>
      <c r="B651" s="4" t="n">
        <v>6</v>
      </c>
      <c r="C651" s="4" t="inlineStr">
        <is>
          <t>mule deer</t>
        </is>
      </c>
      <c r="D651" s="4" t="n">
        <v>2021</v>
      </c>
      <c r="E651" s="5" t="n">
        <v>315</v>
      </c>
      <c r="F651" s="5" t="n">
        <v>1625</v>
      </c>
      <c r="G651" s="5" t="n">
        <v>112</v>
      </c>
      <c r="H651" s="10">
        <f>IF(E651&gt;0,G651/E651,"")</f>
        <v/>
      </c>
      <c r="I651" s="11">
        <f>IF(AND(F651&gt;0,G651&gt;0),F651/G651,"")</f>
        <v/>
      </c>
    </row>
    <row r="652">
      <c r="A652" s="4" t="inlineStr">
        <is>
          <t>632</t>
        </is>
      </c>
      <c r="B652" s="4" t="n">
        <v>6</v>
      </c>
      <c r="C652" s="4" t="inlineStr">
        <is>
          <t>mule deer</t>
        </is>
      </c>
      <c r="D652" s="4" t="n">
        <v>2021</v>
      </c>
      <c r="E652" s="5" t="n">
        <v>405</v>
      </c>
      <c r="F652" s="5" t="n">
        <v>2379</v>
      </c>
      <c r="G652" s="5" t="n">
        <v>207</v>
      </c>
      <c r="H652" s="10">
        <f>IF(E652&gt;0,G652/E652,"")</f>
        <v/>
      </c>
      <c r="I652" s="11">
        <f>IF(AND(F652&gt;0,G652&gt;0),F652/G652,"")</f>
        <v/>
      </c>
    </row>
    <row r="653">
      <c r="A653" s="4" t="inlineStr">
        <is>
          <t>640</t>
        </is>
      </c>
      <c r="B653" s="4" t="n">
        <v>6</v>
      </c>
      <c r="C653" s="4" t="inlineStr">
        <is>
          <t>mule deer</t>
        </is>
      </c>
      <c r="D653" s="4" t="n">
        <v>2021</v>
      </c>
      <c r="E653" s="5" t="n">
        <v>2867</v>
      </c>
      <c r="F653" s="5" t="n">
        <v>16531</v>
      </c>
      <c r="G653" s="5" t="n">
        <v>1962</v>
      </c>
      <c r="H653" s="10">
        <f>IF(E653&gt;0,G653/E653,"")</f>
        <v/>
      </c>
      <c r="I653" s="11">
        <f>IF(AND(F653&gt;0,G653&gt;0),F653/G653,"")</f>
        <v/>
      </c>
    </row>
    <row r="654">
      <c r="A654" s="4" t="inlineStr">
        <is>
          <t>640</t>
        </is>
      </c>
      <c r="B654" s="4" t="n">
        <v>6</v>
      </c>
      <c r="C654" s="4" t="inlineStr">
        <is>
          <t>mule deer</t>
        </is>
      </c>
      <c r="D654" s="4" t="n">
        <v>2022</v>
      </c>
      <c r="E654" s="5" t="n"/>
      <c r="F654" s="5" t="n"/>
      <c r="G654" s="5" t="n">
        <v>1811</v>
      </c>
      <c r="H654" s="10">
        <f>IF(E654&gt;0,G654/E654,"")</f>
        <v/>
      </c>
      <c r="I654" s="11">
        <f>IF(AND(F654&gt;0,G654&gt;0),F654/G654,"")</f>
        <v/>
      </c>
    </row>
    <row r="655">
      <c r="A655" s="4" t="inlineStr">
        <is>
          <t>640</t>
        </is>
      </c>
      <c r="B655" s="4" t="n">
        <v>6</v>
      </c>
      <c r="C655" s="4" t="inlineStr">
        <is>
          <t>mule deer</t>
        </is>
      </c>
      <c r="D655" s="4" t="n">
        <v>2023</v>
      </c>
      <c r="E655" s="5" t="n">
        <v>3542</v>
      </c>
      <c r="F655" s="5" t="n">
        <v>20669</v>
      </c>
      <c r="G655" s="5" t="n">
        <v>2230</v>
      </c>
      <c r="H655" s="10">
        <f>IF(E655&gt;0,G655/E655,"")</f>
        <v/>
      </c>
      <c r="I655" s="11">
        <f>IF(AND(F655&gt;0,G655&gt;0),F655/G655,"")</f>
        <v/>
      </c>
    </row>
    <row r="656">
      <c r="A656" s="4" t="inlineStr">
        <is>
          <t>640</t>
        </is>
      </c>
      <c r="B656" s="4" t="n">
        <v>6</v>
      </c>
      <c r="C656" s="4" t="inlineStr">
        <is>
          <t>mule deer</t>
        </is>
      </c>
      <c r="D656" s="4" t="n">
        <v>2024</v>
      </c>
      <c r="E656" s="5" t="n"/>
      <c r="F656" s="5" t="n"/>
      <c r="G656" s="5" t="n">
        <v>1678</v>
      </c>
      <c r="H656" s="10">
        <f>IF(E656&gt;0,G656/E656,"")</f>
        <v/>
      </c>
      <c r="I656" s="11">
        <f>IF(AND(F656&gt;0,G656&gt;0),F656/G656,"")</f>
        <v/>
      </c>
    </row>
    <row r="657">
      <c r="A657" s="4" t="inlineStr">
        <is>
          <t>640</t>
        </is>
      </c>
      <c r="B657" s="4" t="n">
        <v>6</v>
      </c>
      <c r="C657" s="4" t="inlineStr">
        <is>
          <t>mule deer</t>
        </is>
      </c>
      <c r="D657" s="4" t="n">
        <v>2025</v>
      </c>
      <c r="E657" s="5" t="n">
        <v>2776</v>
      </c>
      <c r="F657" s="5" t="n">
        <v>17162</v>
      </c>
      <c r="G657" s="5" t="n">
        <v>1225</v>
      </c>
      <c r="H657" s="10">
        <f>IF(E657&gt;0,G657/E657,"")</f>
        <v/>
      </c>
      <c r="I657" s="11">
        <f>IF(AND(F657&gt;0,G657&gt;0),F657/G657,"")</f>
        <v/>
      </c>
    </row>
    <row r="658">
      <c r="A658" s="4" t="inlineStr">
        <is>
          <t>650</t>
        </is>
      </c>
      <c r="B658" s="4" t="n">
        <v>6</v>
      </c>
      <c r="C658" s="4" t="inlineStr">
        <is>
          <t>mule deer</t>
        </is>
      </c>
      <c r="D658" s="4" t="n">
        <v>2021</v>
      </c>
      <c r="E658" s="5" t="n">
        <v>2635</v>
      </c>
      <c r="F658" s="5" t="n">
        <v>14152</v>
      </c>
      <c r="G658" s="5" t="n">
        <v>2002</v>
      </c>
      <c r="H658" s="10">
        <f>IF(E658&gt;0,G658/E658,"")</f>
        <v/>
      </c>
      <c r="I658" s="11">
        <f>IF(AND(F658&gt;0,G658&gt;0),F658/G658,"")</f>
        <v/>
      </c>
    </row>
    <row r="659">
      <c r="A659" s="4" t="inlineStr">
        <is>
          <t>650</t>
        </is>
      </c>
      <c r="B659" s="4" t="n">
        <v>6</v>
      </c>
      <c r="C659" s="4" t="inlineStr">
        <is>
          <t>mule deer</t>
        </is>
      </c>
      <c r="D659" s="4" t="n">
        <v>2022</v>
      </c>
      <c r="E659" s="5" t="n"/>
      <c r="F659" s="5" t="n"/>
      <c r="G659" s="5" t="n">
        <v>1443</v>
      </c>
      <c r="H659" s="10">
        <f>IF(E659&gt;0,G659/E659,"")</f>
        <v/>
      </c>
      <c r="I659" s="11">
        <f>IF(AND(F659&gt;0,G659&gt;0),F659/G659,"")</f>
        <v/>
      </c>
    </row>
    <row r="660">
      <c r="A660" s="4" t="inlineStr">
        <is>
          <t>650</t>
        </is>
      </c>
      <c r="B660" s="4" t="n">
        <v>6</v>
      </c>
      <c r="C660" s="4" t="inlineStr">
        <is>
          <t>mule deer</t>
        </is>
      </c>
      <c r="D660" s="4" t="n">
        <v>2023</v>
      </c>
      <c r="E660" s="5" t="n">
        <v>2538</v>
      </c>
      <c r="F660" s="5" t="n">
        <v>13513</v>
      </c>
      <c r="G660" s="5" t="n">
        <v>1334</v>
      </c>
      <c r="H660" s="10">
        <f>IF(E660&gt;0,G660/E660,"")</f>
        <v/>
      </c>
      <c r="I660" s="11">
        <f>IF(AND(F660&gt;0,G660&gt;0),F660/G660,"")</f>
        <v/>
      </c>
    </row>
    <row r="661">
      <c r="A661" s="4" t="inlineStr">
        <is>
          <t>650</t>
        </is>
      </c>
      <c r="B661" s="4" t="n">
        <v>6</v>
      </c>
      <c r="C661" s="4" t="inlineStr">
        <is>
          <t>mule deer</t>
        </is>
      </c>
      <c r="D661" s="4" t="n">
        <v>2024</v>
      </c>
      <c r="E661" s="5" t="n"/>
      <c r="F661" s="5" t="n"/>
      <c r="G661" s="5" t="n">
        <v>981</v>
      </c>
      <c r="H661" s="10">
        <f>IF(E661&gt;0,G661/E661,"")</f>
        <v/>
      </c>
      <c r="I661" s="11">
        <f>IF(AND(F661&gt;0,G661&gt;0),F661/G661,"")</f>
        <v/>
      </c>
    </row>
    <row r="662">
      <c r="A662" s="4" t="inlineStr">
        <is>
          <t>650</t>
        </is>
      </c>
      <c r="B662" s="4" t="n">
        <v>6</v>
      </c>
      <c r="C662" s="4" t="inlineStr">
        <is>
          <t>mule deer</t>
        </is>
      </c>
      <c r="D662" s="4" t="n">
        <v>2025</v>
      </c>
      <c r="E662" s="5" t="n">
        <v>2010</v>
      </c>
      <c r="F662" s="5" t="n">
        <v>12283</v>
      </c>
      <c r="G662" s="5" t="n">
        <v>843</v>
      </c>
      <c r="H662" s="10">
        <f>IF(E662&gt;0,G662/E662,"")</f>
        <v/>
      </c>
      <c r="I662" s="11">
        <f>IF(AND(F662&gt;0,G662&gt;0),F662/G662,"")</f>
        <v/>
      </c>
    </row>
    <row r="663">
      <c r="A663" s="4" t="inlineStr">
        <is>
          <t>652</t>
        </is>
      </c>
      <c r="B663" s="4" t="n">
        <v>6</v>
      </c>
      <c r="C663" s="4" t="inlineStr">
        <is>
          <t>mule deer</t>
        </is>
      </c>
      <c r="D663" s="4" t="n">
        <v>2021</v>
      </c>
      <c r="E663" s="5" t="n">
        <v>169</v>
      </c>
      <c r="F663" s="5" t="n">
        <v>1200</v>
      </c>
      <c r="G663" s="5" t="n">
        <v>156</v>
      </c>
      <c r="H663" s="10">
        <f>IF(E663&gt;0,G663/E663,"")</f>
        <v/>
      </c>
      <c r="I663" s="11">
        <f>IF(AND(F663&gt;0,G663&gt;0),F663/G663,"")</f>
        <v/>
      </c>
    </row>
    <row r="664">
      <c r="A664" s="4" t="inlineStr">
        <is>
          <t>652</t>
        </is>
      </c>
      <c r="B664" s="4" t="n">
        <v>6</v>
      </c>
      <c r="C664" s="4" t="inlineStr">
        <is>
          <t>mule deer</t>
        </is>
      </c>
      <c r="D664" s="4" t="n">
        <v>2022</v>
      </c>
      <c r="E664" s="5" t="n"/>
      <c r="F664" s="5" t="n"/>
      <c r="G664" s="5" t="n">
        <v>104</v>
      </c>
      <c r="H664" s="10">
        <f>IF(E664&gt;0,G664/E664,"")</f>
        <v/>
      </c>
      <c r="I664" s="11">
        <f>IF(AND(F664&gt;0,G664&gt;0),F664/G664,"")</f>
        <v/>
      </c>
    </row>
    <row r="665">
      <c r="A665" s="4" t="inlineStr">
        <is>
          <t>652</t>
        </is>
      </c>
      <c r="B665" s="4" t="n">
        <v>6</v>
      </c>
      <c r="C665" s="4" t="inlineStr">
        <is>
          <t>mule deer</t>
        </is>
      </c>
      <c r="D665" s="4" t="n">
        <v>2023</v>
      </c>
      <c r="E665" s="5" t="n">
        <v>173</v>
      </c>
      <c r="F665" s="5" t="n">
        <v>978</v>
      </c>
      <c r="G665" s="5" t="n">
        <v>87</v>
      </c>
      <c r="H665" s="10">
        <f>IF(E665&gt;0,G665/E665,"")</f>
        <v/>
      </c>
      <c r="I665" s="11">
        <f>IF(AND(F665&gt;0,G665&gt;0),F665/G665,"")</f>
        <v/>
      </c>
    </row>
    <row r="666">
      <c r="A666" s="4" t="inlineStr">
        <is>
          <t>652</t>
        </is>
      </c>
      <c r="B666" s="4" t="n">
        <v>6</v>
      </c>
      <c r="C666" s="4" t="inlineStr">
        <is>
          <t>mule deer</t>
        </is>
      </c>
      <c r="D666" s="4" t="n">
        <v>2024</v>
      </c>
      <c r="E666" s="5" t="n"/>
      <c r="F666" s="5" t="n"/>
      <c r="G666" s="5" t="n">
        <v>64</v>
      </c>
      <c r="H666" s="10">
        <f>IF(E666&gt;0,G666/E666,"")</f>
        <v/>
      </c>
      <c r="I666" s="11">
        <f>IF(AND(F666&gt;0,G666&gt;0),F666/G666,"")</f>
        <v/>
      </c>
    </row>
    <row r="667">
      <c r="A667" s="4" t="inlineStr">
        <is>
          <t>652</t>
        </is>
      </c>
      <c r="B667" s="4" t="n">
        <v>6</v>
      </c>
      <c r="C667" s="4" t="inlineStr">
        <is>
          <t>mule deer</t>
        </is>
      </c>
      <c r="D667" s="4" t="n">
        <v>2025</v>
      </c>
      <c r="E667" s="5" t="n">
        <v>123</v>
      </c>
      <c r="F667" s="5" t="n">
        <v>734</v>
      </c>
      <c r="G667" s="5" t="n">
        <v>52</v>
      </c>
      <c r="H667" s="10">
        <f>IF(E667&gt;0,G667/E667,"")</f>
        <v/>
      </c>
      <c r="I667" s="11">
        <f>IF(AND(F667&gt;0,G667&gt;0),F667/G667,"")</f>
        <v/>
      </c>
    </row>
    <row r="668">
      <c r="A668" s="4" t="inlineStr">
        <is>
          <t>670</t>
        </is>
      </c>
      <c r="B668" s="4" t="n">
        <v>6</v>
      </c>
      <c r="C668" s="4" t="inlineStr">
        <is>
          <t>mule deer</t>
        </is>
      </c>
      <c r="D668" s="4" t="n">
        <v>2021</v>
      </c>
      <c r="E668" s="5" t="n">
        <v>3853</v>
      </c>
      <c r="F668" s="5" t="n">
        <v>19975</v>
      </c>
      <c r="G668" s="5" t="n">
        <v>2917</v>
      </c>
      <c r="H668" s="10">
        <f>IF(E668&gt;0,G668/E668,"")</f>
        <v/>
      </c>
      <c r="I668" s="11">
        <f>IF(AND(F668&gt;0,G668&gt;0),F668/G668,"")</f>
        <v/>
      </c>
    </row>
    <row r="669">
      <c r="A669" s="4" t="inlineStr">
        <is>
          <t>670</t>
        </is>
      </c>
      <c r="B669" s="4" t="n">
        <v>6</v>
      </c>
      <c r="C669" s="4" t="inlineStr">
        <is>
          <t>mule deer</t>
        </is>
      </c>
      <c r="D669" s="4" t="n">
        <v>2022</v>
      </c>
      <c r="E669" s="5" t="n"/>
      <c r="F669" s="5" t="n"/>
      <c r="G669" s="5" t="n">
        <v>2306</v>
      </c>
      <c r="H669" s="10">
        <f>IF(E669&gt;0,G669/E669,"")</f>
        <v/>
      </c>
      <c r="I669" s="11">
        <f>IF(AND(F669&gt;0,G669&gt;0),F669/G669,"")</f>
        <v/>
      </c>
    </row>
    <row r="670">
      <c r="A670" s="4" t="inlineStr">
        <is>
          <t>670</t>
        </is>
      </c>
      <c r="B670" s="4" t="n">
        <v>6</v>
      </c>
      <c r="C670" s="4" t="inlineStr">
        <is>
          <t>mule deer</t>
        </is>
      </c>
      <c r="D670" s="4" t="n">
        <v>2023</v>
      </c>
      <c r="E670" s="5" t="n">
        <v>3574</v>
      </c>
      <c r="F670" s="5" t="n">
        <v>19455</v>
      </c>
      <c r="G670" s="5" t="n">
        <v>1923</v>
      </c>
      <c r="H670" s="10">
        <f>IF(E670&gt;0,G670/E670,"")</f>
        <v/>
      </c>
      <c r="I670" s="11">
        <f>IF(AND(F670&gt;0,G670&gt;0),F670/G670,"")</f>
        <v/>
      </c>
    </row>
    <row r="671">
      <c r="A671" s="4" t="inlineStr">
        <is>
          <t>670</t>
        </is>
      </c>
      <c r="B671" s="4" t="n">
        <v>6</v>
      </c>
      <c r="C671" s="4" t="inlineStr">
        <is>
          <t>mule deer</t>
        </is>
      </c>
      <c r="D671" s="4" t="n">
        <v>2024</v>
      </c>
      <c r="E671" s="5" t="n"/>
      <c r="F671" s="5" t="n"/>
      <c r="G671" s="5" t="n">
        <v>1200</v>
      </c>
      <c r="H671" s="10">
        <f>IF(E671&gt;0,G671/E671,"")</f>
        <v/>
      </c>
      <c r="I671" s="11">
        <f>IF(AND(F671&gt;0,G671&gt;0),F671/G671,"")</f>
        <v/>
      </c>
    </row>
    <row r="672">
      <c r="A672" s="4" t="inlineStr">
        <is>
          <t>670</t>
        </is>
      </c>
      <c r="B672" s="4" t="n">
        <v>6</v>
      </c>
      <c r="C672" s="4" t="inlineStr">
        <is>
          <t>mule deer</t>
        </is>
      </c>
      <c r="D672" s="4" t="n">
        <v>2025</v>
      </c>
      <c r="E672" s="5" t="n">
        <v>2456</v>
      </c>
      <c r="F672" s="5" t="n">
        <v>14292</v>
      </c>
      <c r="G672" s="5" t="n">
        <v>955</v>
      </c>
      <c r="H672" s="10">
        <f>IF(E672&gt;0,G672/E672,"")</f>
        <v/>
      </c>
      <c r="I672" s="11">
        <f>IF(AND(F672&gt;0,G672&gt;0),F672/G672,"")</f>
        <v/>
      </c>
    </row>
    <row r="673">
      <c r="A673" s="4" t="inlineStr">
        <is>
          <t>690</t>
        </is>
      </c>
      <c r="B673" s="4" t="n">
        <v>6</v>
      </c>
      <c r="C673" s="4" t="inlineStr">
        <is>
          <t>mule deer</t>
        </is>
      </c>
      <c r="D673" s="4" t="n">
        <v>2021</v>
      </c>
      <c r="E673" s="5" t="n">
        <v>3447</v>
      </c>
      <c r="F673" s="5" t="n">
        <v>17101</v>
      </c>
      <c r="G673" s="5" t="n">
        <v>2362</v>
      </c>
      <c r="H673" s="10">
        <f>IF(E673&gt;0,G673/E673,"")</f>
        <v/>
      </c>
      <c r="I673" s="11">
        <f>IF(AND(F673&gt;0,G673&gt;0),F673/G673,"")</f>
        <v/>
      </c>
    </row>
    <row r="674">
      <c r="A674" s="4" t="inlineStr">
        <is>
          <t>690</t>
        </is>
      </c>
      <c r="B674" s="4" t="n">
        <v>6</v>
      </c>
      <c r="C674" s="4" t="inlineStr">
        <is>
          <t>mule deer</t>
        </is>
      </c>
      <c r="D674" s="4" t="n">
        <v>2022</v>
      </c>
      <c r="E674" s="5" t="n"/>
      <c r="F674" s="5" t="n"/>
      <c r="G674" s="5" t="n">
        <v>1692</v>
      </c>
      <c r="H674" s="10">
        <f>IF(E674&gt;0,G674/E674,"")</f>
        <v/>
      </c>
      <c r="I674" s="11">
        <f>IF(AND(F674&gt;0,G674&gt;0),F674/G674,"")</f>
        <v/>
      </c>
    </row>
    <row r="675">
      <c r="A675" s="4" t="inlineStr">
        <is>
          <t>690</t>
        </is>
      </c>
      <c r="B675" s="4" t="n">
        <v>6</v>
      </c>
      <c r="C675" s="4" t="inlineStr">
        <is>
          <t>mule deer</t>
        </is>
      </c>
      <c r="D675" s="4" t="n">
        <v>2023</v>
      </c>
      <c r="E675" s="5" t="n">
        <v>3038</v>
      </c>
      <c r="F675" s="5" t="n">
        <v>16683</v>
      </c>
      <c r="G675" s="5" t="n">
        <v>1520</v>
      </c>
      <c r="H675" s="10">
        <f>IF(E675&gt;0,G675/E675,"")</f>
        <v/>
      </c>
      <c r="I675" s="11">
        <f>IF(AND(F675&gt;0,G675&gt;0),F675/G675,"")</f>
        <v/>
      </c>
    </row>
    <row r="676">
      <c r="A676" s="4" t="inlineStr">
        <is>
          <t>690</t>
        </is>
      </c>
      <c r="B676" s="4" t="n">
        <v>6</v>
      </c>
      <c r="C676" s="4" t="inlineStr">
        <is>
          <t>mule deer</t>
        </is>
      </c>
      <c r="D676" s="4" t="n">
        <v>2024</v>
      </c>
      <c r="E676" s="5" t="n"/>
      <c r="F676" s="5" t="n"/>
      <c r="G676" s="5" t="n">
        <v>1315</v>
      </c>
      <c r="H676" s="10">
        <f>IF(E676&gt;0,G676/E676,"")</f>
        <v/>
      </c>
      <c r="I676" s="11">
        <f>IF(AND(F676&gt;0,G676&gt;0),F676/G676,"")</f>
        <v/>
      </c>
    </row>
    <row r="677">
      <c r="A677" s="4" t="inlineStr">
        <is>
          <t>690</t>
        </is>
      </c>
      <c r="B677" s="4" t="n">
        <v>6</v>
      </c>
      <c r="C677" s="4" t="inlineStr">
        <is>
          <t>mule deer</t>
        </is>
      </c>
      <c r="D677" s="4" t="n">
        <v>2025</v>
      </c>
      <c r="E677" s="5" t="n">
        <v>2914</v>
      </c>
      <c r="F677" s="5" t="n">
        <v>15526</v>
      </c>
      <c r="G677" s="5" t="n">
        <v>1194</v>
      </c>
      <c r="H677" s="10">
        <f>IF(E677&gt;0,G677/E677,"")</f>
        <v/>
      </c>
      <c r="I677" s="11">
        <f>IF(AND(F677&gt;0,G677&gt;0),F677/G677,"")</f>
        <v/>
      </c>
    </row>
    <row r="678">
      <c r="A678" s="4" t="inlineStr">
        <is>
          <t>700</t>
        </is>
      </c>
      <c r="B678" s="4" t="n">
        <v>7</v>
      </c>
      <c r="C678" s="4" t="inlineStr">
        <is>
          <t>mule deer</t>
        </is>
      </c>
      <c r="D678" s="4" t="n">
        <v>2021</v>
      </c>
      <c r="E678" s="5" t="n">
        <v>4493</v>
      </c>
      <c r="F678" s="5" t="n">
        <v>26648</v>
      </c>
      <c r="G678" s="5" t="n">
        <v>2100</v>
      </c>
      <c r="H678" s="10">
        <f>IF(E678&gt;0,G678/E678,"")</f>
        <v/>
      </c>
      <c r="I678" s="11">
        <f>IF(AND(F678&gt;0,G678&gt;0),F678/G678,"")</f>
        <v/>
      </c>
    </row>
    <row r="679">
      <c r="A679" s="4" t="inlineStr">
        <is>
          <t>700</t>
        </is>
      </c>
      <c r="B679" s="4" t="n">
        <v>7</v>
      </c>
      <c r="C679" s="4" t="inlineStr">
        <is>
          <t>mule deer</t>
        </is>
      </c>
      <c r="D679" s="4" t="n">
        <v>2022</v>
      </c>
      <c r="E679" s="5" t="n"/>
      <c r="F679" s="5" t="n"/>
      <c r="G679" s="5" t="n">
        <v>1316</v>
      </c>
      <c r="H679" s="10">
        <f>IF(E679&gt;0,G679/E679,"")</f>
        <v/>
      </c>
      <c r="I679" s="11">
        <f>IF(AND(F679&gt;0,G679&gt;0),F679/G679,"")</f>
        <v/>
      </c>
    </row>
    <row r="680">
      <c r="A680" s="4" t="inlineStr">
        <is>
          <t>700</t>
        </is>
      </c>
      <c r="B680" s="4" t="n">
        <v>7</v>
      </c>
      <c r="C680" s="4" t="inlineStr">
        <is>
          <t>mule deer</t>
        </is>
      </c>
      <c r="D680" s="4" t="n">
        <v>2023</v>
      </c>
      <c r="E680" s="5" t="n">
        <v>3467</v>
      </c>
      <c r="F680" s="5" t="n">
        <v>21061</v>
      </c>
      <c r="G680" s="5" t="n">
        <v>1163</v>
      </c>
      <c r="H680" s="10">
        <f>IF(E680&gt;0,G680/E680,"")</f>
        <v/>
      </c>
      <c r="I680" s="11">
        <f>IF(AND(F680&gt;0,G680&gt;0),F680/G680,"")</f>
        <v/>
      </c>
    </row>
    <row r="681">
      <c r="A681" s="4" t="inlineStr">
        <is>
          <t>700</t>
        </is>
      </c>
      <c r="B681" s="4" t="n">
        <v>7</v>
      </c>
      <c r="C681" s="4" t="inlineStr">
        <is>
          <t>mule deer</t>
        </is>
      </c>
      <c r="D681" s="4" t="n">
        <v>2024</v>
      </c>
      <c r="E681" s="5" t="n"/>
      <c r="F681" s="5" t="n"/>
      <c r="G681" s="5" t="n">
        <v>835</v>
      </c>
      <c r="H681" s="10">
        <f>IF(E681&gt;0,G681/E681,"")</f>
        <v/>
      </c>
      <c r="I681" s="11">
        <f>IF(AND(F681&gt;0,G681&gt;0),F681/G681,"")</f>
        <v/>
      </c>
    </row>
    <row r="682">
      <c r="A682" s="4" t="inlineStr">
        <is>
          <t>700</t>
        </is>
      </c>
      <c r="B682" s="4" t="n">
        <v>7</v>
      </c>
      <c r="C682" s="4" t="inlineStr">
        <is>
          <t>mule deer</t>
        </is>
      </c>
      <c r="D682" s="4" t="n">
        <v>2025</v>
      </c>
      <c r="E682" s="5" t="n">
        <v>3259</v>
      </c>
      <c r="F682" s="5" t="n">
        <v>23783</v>
      </c>
      <c r="G682" s="5" t="n">
        <v>1015</v>
      </c>
      <c r="H682" s="10">
        <f>IF(E682&gt;0,G682/E682,"")</f>
        <v/>
      </c>
      <c r="I682" s="11">
        <f>IF(AND(F682&gt;0,G682&gt;0),F682/G682,"")</f>
        <v/>
      </c>
    </row>
    <row r="683">
      <c r="A683" s="4" t="inlineStr">
        <is>
          <t>701</t>
        </is>
      </c>
      <c r="B683" s="4" t="n">
        <v>7</v>
      </c>
      <c r="C683" s="4" t="inlineStr">
        <is>
          <t>mule deer</t>
        </is>
      </c>
      <c r="D683" s="4" t="n">
        <v>2021</v>
      </c>
      <c r="E683" s="5" t="n">
        <v>3629</v>
      </c>
      <c r="F683" s="5" t="n">
        <v>18129</v>
      </c>
      <c r="G683" s="5" t="n">
        <v>1561</v>
      </c>
      <c r="H683" s="10">
        <f>IF(E683&gt;0,G683/E683,"")</f>
        <v/>
      </c>
      <c r="I683" s="11">
        <f>IF(AND(F683&gt;0,G683&gt;0),F683/G683,"")</f>
        <v/>
      </c>
    </row>
    <row r="684">
      <c r="A684" s="4" t="inlineStr">
        <is>
          <t>701</t>
        </is>
      </c>
      <c r="B684" s="4" t="n">
        <v>7</v>
      </c>
      <c r="C684" s="4" t="inlineStr">
        <is>
          <t>mule deer</t>
        </is>
      </c>
      <c r="D684" s="4" t="n">
        <v>2022</v>
      </c>
      <c r="E684" s="5" t="n"/>
      <c r="F684" s="5" t="n"/>
      <c r="G684" s="5" t="n">
        <v>1376</v>
      </c>
      <c r="H684" s="10">
        <f>IF(E684&gt;0,G684/E684,"")</f>
        <v/>
      </c>
      <c r="I684" s="11">
        <f>IF(AND(F684&gt;0,G684&gt;0),F684/G684,"")</f>
        <v/>
      </c>
    </row>
    <row r="685">
      <c r="A685" s="4" t="inlineStr">
        <is>
          <t>701</t>
        </is>
      </c>
      <c r="B685" s="4" t="n">
        <v>7</v>
      </c>
      <c r="C685" s="4" t="inlineStr">
        <is>
          <t>mule deer</t>
        </is>
      </c>
      <c r="D685" s="4" t="n">
        <v>2023</v>
      </c>
      <c r="E685" s="5" t="n">
        <v>3415</v>
      </c>
      <c r="F685" s="5" t="n">
        <v>18809</v>
      </c>
      <c r="G685" s="5" t="n">
        <v>1038</v>
      </c>
      <c r="H685" s="10">
        <f>IF(E685&gt;0,G685/E685,"")</f>
        <v/>
      </c>
      <c r="I685" s="11">
        <f>IF(AND(F685&gt;0,G685&gt;0),F685/G685,"")</f>
        <v/>
      </c>
    </row>
    <row r="686">
      <c r="A686" s="4" t="inlineStr">
        <is>
          <t>701</t>
        </is>
      </c>
      <c r="B686" s="4" t="n">
        <v>7</v>
      </c>
      <c r="C686" s="4" t="inlineStr">
        <is>
          <t>mule deer</t>
        </is>
      </c>
      <c r="D686" s="4" t="n">
        <v>2024</v>
      </c>
      <c r="E686" s="5" t="n"/>
      <c r="F686" s="5" t="n"/>
      <c r="G686" s="5" t="n">
        <v>1181</v>
      </c>
      <c r="H686" s="10">
        <f>IF(E686&gt;0,G686/E686,"")</f>
        <v/>
      </c>
      <c r="I686" s="11">
        <f>IF(AND(F686&gt;0,G686&gt;0),F686/G686,"")</f>
        <v/>
      </c>
    </row>
    <row r="687">
      <c r="A687" s="4" t="inlineStr">
        <is>
          <t>701</t>
        </is>
      </c>
      <c r="B687" s="4" t="n">
        <v>7</v>
      </c>
      <c r="C687" s="4" t="inlineStr">
        <is>
          <t>mule deer</t>
        </is>
      </c>
      <c r="D687" s="4" t="n">
        <v>2025</v>
      </c>
      <c r="E687" s="5" t="n">
        <v>3286</v>
      </c>
      <c r="F687" s="5" t="n">
        <v>18840</v>
      </c>
      <c r="G687" s="5" t="n">
        <v>920</v>
      </c>
      <c r="H687" s="10">
        <f>IF(E687&gt;0,G687/E687,"")</f>
        <v/>
      </c>
      <c r="I687" s="11">
        <f>IF(AND(F687&gt;0,G687&gt;0),F687/G687,"")</f>
        <v/>
      </c>
    </row>
    <row r="688">
      <c r="A688" s="4" t="inlineStr">
        <is>
          <t>702</t>
        </is>
      </c>
      <c r="B688" s="4" t="n">
        <v>7</v>
      </c>
      <c r="C688" s="4" t="inlineStr">
        <is>
          <t>mule deer</t>
        </is>
      </c>
      <c r="D688" s="4" t="n">
        <v>2021</v>
      </c>
      <c r="E688" s="5" t="n">
        <v>1842</v>
      </c>
      <c r="F688" s="5" t="n">
        <v>10611</v>
      </c>
      <c r="G688" s="5" t="n">
        <v>797</v>
      </c>
      <c r="H688" s="10">
        <f>IF(E688&gt;0,G688/E688,"")</f>
        <v/>
      </c>
      <c r="I688" s="11">
        <f>IF(AND(F688&gt;0,G688&gt;0),F688/G688,"")</f>
        <v/>
      </c>
    </row>
    <row r="689">
      <c r="A689" s="4" t="inlineStr">
        <is>
          <t>702</t>
        </is>
      </c>
      <c r="B689" s="4" t="n">
        <v>7</v>
      </c>
      <c r="C689" s="4" t="inlineStr">
        <is>
          <t>mule deer</t>
        </is>
      </c>
      <c r="D689" s="4" t="n">
        <v>2022</v>
      </c>
      <c r="E689" s="5" t="n"/>
      <c r="F689" s="5" t="n"/>
      <c r="G689" s="5" t="n">
        <v>875</v>
      </c>
      <c r="H689" s="10">
        <f>IF(E689&gt;0,G689/E689,"")</f>
        <v/>
      </c>
      <c r="I689" s="11">
        <f>IF(AND(F689&gt;0,G689&gt;0),F689/G689,"")</f>
        <v/>
      </c>
    </row>
    <row r="690">
      <c r="A690" s="4" t="inlineStr">
        <is>
          <t>702</t>
        </is>
      </c>
      <c r="B690" s="4" t="n">
        <v>7</v>
      </c>
      <c r="C690" s="4" t="inlineStr">
        <is>
          <t>mule deer</t>
        </is>
      </c>
      <c r="D690" s="4" t="n">
        <v>2023</v>
      </c>
      <c r="E690" s="5" t="n">
        <v>2028</v>
      </c>
      <c r="F690" s="5" t="n">
        <v>11142</v>
      </c>
      <c r="G690" s="5" t="n">
        <v>798</v>
      </c>
      <c r="H690" s="10">
        <f>IF(E690&gt;0,G690/E690,"")</f>
        <v/>
      </c>
      <c r="I690" s="11">
        <f>IF(AND(F690&gt;0,G690&gt;0),F690/G690,"")</f>
        <v/>
      </c>
    </row>
    <row r="691">
      <c r="A691" s="4" t="inlineStr">
        <is>
          <t>702</t>
        </is>
      </c>
      <c r="B691" s="4" t="n">
        <v>7</v>
      </c>
      <c r="C691" s="4" t="inlineStr">
        <is>
          <t>mule deer</t>
        </is>
      </c>
      <c r="D691" s="4" t="n">
        <v>2024</v>
      </c>
      <c r="E691" s="5" t="n"/>
      <c r="F691" s="5" t="n"/>
      <c r="G691" s="5" t="n">
        <v>819</v>
      </c>
      <c r="H691" s="10">
        <f>IF(E691&gt;0,G691/E691,"")</f>
        <v/>
      </c>
      <c r="I691" s="11">
        <f>IF(AND(F691&gt;0,G691&gt;0),F691/G691,"")</f>
        <v/>
      </c>
    </row>
    <row r="692">
      <c r="A692" s="4" t="inlineStr">
        <is>
          <t>702</t>
        </is>
      </c>
      <c r="B692" s="4" t="n">
        <v>7</v>
      </c>
      <c r="C692" s="4" t="inlineStr">
        <is>
          <t>mule deer</t>
        </is>
      </c>
      <c r="D692" s="4" t="n">
        <v>2025</v>
      </c>
      <c r="E692" s="5" t="n">
        <v>1740</v>
      </c>
      <c r="F692" s="5" t="n">
        <v>9567</v>
      </c>
      <c r="G692" s="5" t="n">
        <v>631</v>
      </c>
      <c r="H692" s="10">
        <f>IF(E692&gt;0,G692/E692,"")</f>
        <v/>
      </c>
      <c r="I692" s="11">
        <f>IF(AND(F692&gt;0,G692&gt;0),F692/G692,"")</f>
        <v/>
      </c>
    </row>
    <row r="693">
      <c r="A693" s="4" t="inlineStr">
        <is>
          <t>703</t>
        </is>
      </c>
      <c r="B693" s="4" t="n">
        <v>7</v>
      </c>
      <c r="C693" s="4" t="inlineStr">
        <is>
          <t>mule deer</t>
        </is>
      </c>
      <c r="D693" s="4" t="n">
        <v>2021</v>
      </c>
      <c r="E693" s="5" t="n">
        <v>3853</v>
      </c>
      <c r="F693" s="5" t="n">
        <v>21574</v>
      </c>
      <c r="G693" s="5" t="n">
        <v>1917</v>
      </c>
      <c r="H693" s="10">
        <f>IF(E693&gt;0,G693/E693,"")</f>
        <v/>
      </c>
      <c r="I693" s="11">
        <f>IF(AND(F693&gt;0,G693&gt;0),F693/G693,"")</f>
        <v/>
      </c>
    </row>
    <row r="694">
      <c r="A694" s="4" t="inlineStr">
        <is>
          <t>703</t>
        </is>
      </c>
      <c r="B694" s="4" t="n">
        <v>7</v>
      </c>
      <c r="C694" s="4" t="inlineStr">
        <is>
          <t>mule deer</t>
        </is>
      </c>
      <c r="D694" s="4" t="n">
        <v>2022</v>
      </c>
      <c r="E694" s="5" t="n"/>
      <c r="F694" s="5" t="n"/>
      <c r="G694" s="5" t="n">
        <v>1665</v>
      </c>
      <c r="H694" s="10">
        <f>IF(E694&gt;0,G694/E694,"")</f>
        <v/>
      </c>
      <c r="I694" s="11">
        <f>IF(AND(F694&gt;0,G694&gt;0),F694/G694,"")</f>
        <v/>
      </c>
    </row>
    <row r="695">
      <c r="A695" s="4" t="inlineStr">
        <is>
          <t>703</t>
        </is>
      </c>
      <c r="B695" s="4" t="n">
        <v>7</v>
      </c>
      <c r="C695" s="4" t="inlineStr">
        <is>
          <t>mule deer</t>
        </is>
      </c>
      <c r="D695" s="4" t="n">
        <v>2023</v>
      </c>
      <c r="E695" s="5" t="n">
        <v>3673</v>
      </c>
      <c r="F695" s="5" t="n">
        <v>20696</v>
      </c>
      <c r="G695" s="5" t="n">
        <v>1448</v>
      </c>
      <c r="H695" s="10">
        <f>IF(E695&gt;0,G695/E695,"")</f>
        <v/>
      </c>
      <c r="I695" s="11">
        <f>IF(AND(F695&gt;0,G695&gt;0),F695/G695,"")</f>
        <v/>
      </c>
    </row>
    <row r="696">
      <c r="A696" s="4" t="inlineStr">
        <is>
          <t>703</t>
        </is>
      </c>
      <c r="B696" s="4" t="n">
        <v>7</v>
      </c>
      <c r="C696" s="4" t="inlineStr">
        <is>
          <t>mule deer</t>
        </is>
      </c>
      <c r="D696" s="4" t="n">
        <v>2024</v>
      </c>
      <c r="E696" s="5" t="n"/>
      <c r="F696" s="5" t="n"/>
      <c r="G696" s="5" t="n">
        <v>1421</v>
      </c>
      <c r="H696" s="10">
        <f>IF(E696&gt;0,G696/E696,"")</f>
        <v/>
      </c>
      <c r="I696" s="11">
        <f>IF(AND(F696&gt;0,G696&gt;0),F696/G696,"")</f>
        <v/>
      </c>
    </row>
    <row r="697">
      <c r="A697" s="4" t="inlineStr">
        <is>
          <t>703</t>
        </is>
      </c>
      <c r="B697" s="4" t="n">
        <v>7</v>
      </c>
      <c r="C697" s="4" t="inlineStr">
        <is>
          <t>mule deer</t>
        </is>
      </c>
      <c r="D697" s="4" t="n">
        <v>2025</v>
      </c>
      <c r="E697" s="5" t="n">
        <v>3447</v>
      </c>
      <c r="F697" s="5" t="n">
        <v>21223</v>
      </c>
      <c r="G697" s="5" t="n">
        <v>1277</v>
      </c>
      <c r="H697" s="10">
        <f>IF(E697&gt;0,G697/E697,"")</f>
        <v/>
      </c>
      <c r="I697" s="11">
        <f>IF(AND(F697&gt;0,G697&gt;0),F697/G697,"")</f>
        <v/>
      </c>
    </row>
    <row r="698">
      <c r="A698" s="4" t="inlineStr">
        <is>
          <t>704</t>
        </is>
      </c>
      <c r="B698" s="4" t="n">
        <v>7</v>
      </c>
      <c r="C698" s="4" t="inlineStr">
        <is>
          <t>mule deer</t>
        </is>
      </c>
      <c r="D698" s="4" t="n">
        <v>2021</v>
      </c>
      <c r="E698" s="5" t="n">
        <v>5005</v>
      </c>
      <c r="F698" s="5" t="n">
        <v>26625</v>
      </c>
      <c r="G698" s="5" t="n">
        <v>2295</v>
      </c>
      <c r="H698" s="10">
        <f>IF(E698&gt;0,G698/E698,"")</f>
        <v/>
      </c>
      <c r="I698" s="11">
        <f>IF(AND(F698&gt;0,G698&gt;0),F698/G698,"")</f>
        <v/>
      </c>
    </row>
    <row r="699">
      <c r="A699" s="4" t="inlineStr">
        <is>
          <t>704</t>
        </is>
      </c>
      <c r="B699" s="4" t="n">
        <v>7</v>
      </c>
      <c r="C699" s="4" t="inlineStr">
        <is>
          <t>mule deer</t>
        </is>
      </c>
      <c r="D699" s="4" t="n">
        <v>2022</v>
      </c>
      <c r="E699" s="5" t="n"/>
      <c r="F699" s="5" t="n"/>
      <c r="G699" s="5" t="n">
        <v>1780</v>
      </c>
      <c r="H699" s="10">
        <f>IF(E699&gt;0,G699/E699,"")</f>
        <v/>
      </c>
      <c r="I699" s="11">
        <f>IF(AND(F699&gt;0,G699&gt;0),F699/G699,"")</f>
        <v/>
      </c>
    </row>
    <row r="700">
      <c r="A700" s="4" t="inlineStr">
        <is>
          <t>704</t>
        </is>
      </c>
      <c r="B700" s="4" t="n">
        <v>7</v>
      </c>
      <c r="C700" s="4" t="inlineStr">
        <is>
          <t>mule deer</t>
        </is>
      </c>
      <c r="D700" s="4" t="n">
        <v>2023</v>
      </c>
      <c r="E700" s="5" t="n">
        <v>4258</v>
      </c>
      <c r="F700" s="5" t="n">
        <v>23302</v>
      </c>
      <c r="G700" s="5" t="n">
        <v>1703</v>
      </c>
      <c r="H700" s="10">
        <f>IF(E700&gt;0,G700/E700,"")</f>
        <v/>
      </c>
      <c r="I700" s="11">
        <f>IF(AND(F700&gt;0,G700&gt;0),F700/G700,"")</f>
        <v/>
      </c>
    </row>
    <row r="701">
      <c r="A701" s="4" t="inlineStr">
        <is>
          <t>704</t>
        </is>
      </c>
      <c r="B701" s="4" t="n">
        <v>7</v>
      </c>
      <c r="C701" s="4" t="inlineStr">
        <is>
          <t>mule deer</t>
        </is>
      </c>
      <c r="D701" s="4" t="n">
        <v>2024</v>
      </c>
      <c r="E701" s="5" t="n"/>
      <c r="F701" s="5" t="n"/>
      <c r="G701" s="5" t="n">
        <v>1572</v>
      </c>
      <c r="H701" s="10">
        <f>IF(E701&gt;0,G701/E701,"")</f>
        <v/>
      </c>
      <c r="I701" s="11">
        <f>IF(AND(F701&gt;0,G701&gt;0),F701/G701,"")</f>
        <v/>
      </c>
    </row>
    <row r="702">
      <c r="A702" s="4" t="inlineStr">
        <is>
          <t>704</t>
        </is>
      </c>
      <c r="B702" s="4" t="n">
        <v>7</v>
      </c>
      <c r="C702" s="4" t="inlineStr">
        <is>
          <t>mule deer</t>
        </is>
      </c>
      <c r="D702" s="4" t="n">
        <v>2025</v>
      </c>
      <c r="E702" s="5" t="n">
        <v>4306</v>
      </c>
      <c r="F702" s="5" t="n">
        <v>25609</v>
      </c>
      <c r="G702" s="5" t="n">
        <v>1770</v>
      </c>
      <c r="H702" s="10">
        <f>IF(E702&gt;0,G702/E702,"")</f>
        <v/>
      </c>
      <c r="I702" s="11">
        <f>IF(AND(F702&gt;0,G702&gt;0),F702/G702,"")</f>
        <v/>
      </c>
    </row>
    <row r="703">
      <c r="A703" s="4" t="inlineStr">
        <is>
          <t>705</t>
        </is>
      </c>
      <c r="B703" s="4" t="n">
        <v>7</v>
      </c>
      <c r="C703" s="4" t="inlineStr">
        <is>
          <t>mule deer</t>
        </is>
      </c>
      <c r="D703" s="4" t="n">
        <v>2021</v>
      </c>
      <c r="E703" s="5" t="n">
        <v>5464</v>
      </c>
      <c r="F703" s="5" t="n">
        <v>28793</v>
      </c>
      <c r="G703" s="5" t="n">
        <v>2561</v>
      </c>
      <c r="H703" s="10">
        <f>IF(E703&gt;0,G703/E703,"")</f>
        <v/>
      </c>
      <c r="I703" s="11">
        <f>IF(AND(F703&gt;0,G703&gt;0),F703/G703,"")</f>
        <v/>
      </c>
    </row>
    <row r="704">
      <c r="A704" s="4" t="inlineStr">
        <is>
          <t>705</t>
        </is>
      </c>
      <c r="B704" s="4" t="n">
        <v>7</v>
      </c>
      <c r="C704" s="4" t="inlineStr">
        <is>
          <t>mule deer</t>
        </is>
      </c>
      <c r="D704" s="4" t="n">
        <v>2022</v>
      </c>
      <c r="E704" s="5" t="n"/>
      <c r="F704" s="5" t="n"/>
      <c r="G704" s="5" t="n">
        <v>1759</v>
      </c>
      <c r="H704" s="10">
        <f>IF(E704&gt;0,G704/E704,"")</f>
        <v/>
      </c>
      <c r="I704" s="11">
        <f>IF(AND(F704&gt;0,G704&gt;0),F704/G704,"")</f>
        <v/>
      </c>
    </row>
    <row r="705">
      <c r="A705" s="4" t="inlineStr">
        <is>
          <t>705</t>
        </is>
      </c>
      <c r="B705" s="4" t="n">
        <v>7</v>
      </c>
      <c r="C705" s="4" t="inlineStr">
        <is>
          <t>mule deer</t>
        </is>
      </c>
      <c r="D705" s="4" t="n">
        <v>2023</v>
      </c>
      <c r="E705" s="5" t="n">
        <v>3682</v>
      </c>
      <c r="F705" s="5" t="n">
        <v>19348</v>
      </c>
      <c r="G705" s="5" t="n">
        <v>1294</v>
      </c>
      <c r="H705" s="10">
        <f>IF(E705&gt;0,G705/E705,"")</f>
        <v/>
      </c>
      <c r="I705" s="11">
        <f>IF(AND(F705&gt;0,G705&gt;0),F705/G705,"")</f>
        <v/>
      </c>
    </row>
    <row r="706">
      <c r="A706" s="4" t="inlineStr">
        <is>
          <t>705</t>
        </is>
      </c>
      <c r="B706" s="4" t="n">
        <v>7</v>
      </c>
      <c r="C706" s="4" t="inlineStr">
        <is>
          <t>mule deer</t>
        </is>
      </c>
      <c r="D706" s="4" t="n">
        <v>2024</v>
      </c>
      <c r="E706" s="5" t="n"/>
      <c r="F706" s="5" t="n"/>
      <c r="G706" s="5" t="n">
        <v>1374</v>
      </c>
      <c r="H706" s="10">
        <f>IF(E706&gt;0,G706/E706,"")</f>
        <v/>
      </c>
      <c r="I706" s="11">
        <f>IF(AND(F706&gt;0,G706&gt;0),F706/G706,"")</f>
        <v/>
      </c>
    </row>
    <row r="707">
      <c r="A707" s="4" t="inlineStr">
        <is>
          <t>705</t>
        </is>
      </c>
      <c r="B707" s="4" t="n">
        <v>7</v>
      </c>
      <c r="C707" s="4" t="inlineStr">
        <is>
          <t>mule deer</t>
        </is>
      </c>
      <c r="D707" s="4" t="n">
        <v>2025</v>
      </c>
      <c r="E707" s="5" t="n">
        <v>3585</v>
      </c>
      <c r="F707" s="5" t="n">
        <v>20671</v>
      </c>
      <c r="G707" s="5" t="n">
        <v>1463</v>
      </c>
      <c r="H707" s="10">
        <f>IF(E707&gt;0,G707/E707,"")</f>
        <v/>
      </c>
      <c r="I707" s="11">
        <f>IF(AND(F707&gt;0,G707&gt;0),F707/G707,"")</f>
        <v/>
      </c>
    </row>
    <row r="708">
      <c r="A708" s="4" t="inlineStr">
        <is>
          <t>100</t>
        </is>
      </c>
      <c r="B708" s="4" t="n">
        <v>1</v>
      </c>
      <c r="C708" s="4" t="inlineStr">
        <is>
          <t>whitetail</t>
        </is>
      </c>
      <c r="D708" s="4" t="n">
        <v>2021</v>
      </c>
      <c r="E708" s="5" t="n">
        <v>2402</v>
      </c>
      <c r="F708" s="5" t="n">
        <v>17422</v>
      </c>
      <c r="G708" s="5" t="n">
        <v>1272</v>
      </c>
      <c r="H708" s="10">
        <f>IF(E708&gt;0,G708/E708,"")</f>
        <v/>
      </c>
      <c r="I708" s="11">
        <f>IF(AND(F708&gt;0,G708&gt;0),F708/G708,"")</f>
        <v/>
      </c>
    </row>
    <row r="709">
      <c r="A709" s="4" t="inlineStr">
        <is>
          <t>100</t>
        </is>
      </c>
      <c r="B709" s="4" t="n">
        <v>1</v>
      </c>
      <c r="C709" s="4" t="inlineStr">
        <is>
          <t>whitetail</t>
        </is>
      </c>
      <c r="D709" s="4" t="n">
        <v>2022</v>
      </c>
      <c r="E709" s="5" t="n"/>
      <c r="F709" s="5" t="n"/>
      <c r="G709" s="5" t="n">
        <v>1127</v>
      </c>
      <c r="H709" s="10">
        <f>IF(E709&gt;0,G709/E709,"")</f>
        <v/>
      </c>
      <c r="I709" s="11">
        <f>IF(AND(F709&gt;0,G709&gt;0),F709/G709,"")</f>
        <v/>
      </c>
    </row>
    <row r="710">
      <c r="A710" s="4" t="inlineStr">
        <is>
          <t>100</t>
        </is>
      </c>
      <c r="B710" s="4" t="n">
        <v>1</v>
      </c>
      <c r="C710" s="4" t="inlineStr">
        <is>
          <t>whitetail</t>
        </is>
      </c>
      <c r="D710" s="4" t="n">
        <v>2023</v>
      </c>
      <c r="E710" s="5" t="n">
        <v>2846</v>
      </c>
      <c r="F710" s="5" t="n">
        <v>23556</v>
      </c>
      <c r="G710" s="5" t="n">
        <v>1035</v>
      </c>
      <c r="H710" s="10">
        <f>IF(E710&gt;0,G710/E710,"")</f>
        <v/>
      </c>
      <c r="I710" s="11">
        <f>IF(AND(F710&gt;0,G710&gt;0),F710/G710,"")</f>
        <v/>
      </c>
    </row>
    <row r="711">
      <c r="A711" s="4" t="inlineStr">
        <is>
          <t>100</t>
        </is>
      </c>
      <c r="B711" s="4" t="n">
        <v>1</v>
      </c>
      <c r="C711" s="4" t="inlineStr">
        <is>
          <t>whitetail</t>
        </is>
      </c>
      <c r="D711" s="4" t="n">
        <v>2024</v>
      </c>
      <c r="E711" s="5" t="n"/>
      <c r="F711" s="5" t="n"/>
      <c r="G711" s="5" t="n">
        <v>1034</v>
      </c>
      <c r="H711" s="10">
        <f>IF(E711&gt;0,G711/E711,"")</f>
        <v/>
      </c>
      <c r="I711" s="11">
        <f>IF(AND(F711&gt;0,G711&gt;0),F711/G711,"")</f>
        <v/>
      </c>
    </row>
    <row r="712">
      <c r="A712" s="4" t="inlineStr">
        <is>
          <t>100</t>
        </is>
      </c>
      <c r="B712" s="4" t="n">
        <v>1</v>
      </c>
      <c r="C712" s="4" t="inlineStr">
        <is>
          <t>whitetail</t>
        </is>
      </c>
      <c r="D712" s="4" t="n">
        <v>2025</v>
      </c>
      <c r="E712" s="5" t="n">
        <v>2765</v>
      </c>
      <c r="F712" s="5" t="n">
        <v>22537</v>
      </c>
      <c r="G712" s="5" t="n">
        <v>1021</v>
      </c>
      <c r="H712" s="10">
        <f>IF(E712&gt;0,G712/E712,"")</f>
        <v/>
      </c>
      <c r="I712" s="11">
        <f>IF(AND(F712&gt;0,G712&gt;0),F712/G712,"")</f>
        <v/>
      </c>
    </row>
    <row r="713">
      <c r="A713" s="4" t="inlineStr">
        <is>
          <t>101</t>
        </is>
      </c>
      <c r="B713" s="4" t="n">
        <v>1</v>
      </c>
      <c r="C713" s="4" t="inlineStr">
        <is>
          <t>whitetail</t>
        </is>
      </c>
      <c r="D713" s="4" t="n">
        <v>2021</v>
      </c>
      <c r="E713" s="5" t="n">
        <v>2328</v>
      </c>
      <c r="F713" s="5" t="n">
        <v>15644</v>
      </c>
      <c r="G713" s="5" t="n">
        <v>896</v>
      </c>
      <c r="H713" s="10">
        <f>IF(E713&gt;0,G713/E713,"")</f>
        <v/>
      </c>
      <c r="I713" s="11">
        <f>IF(AND(F713&gt;0,G713&gt;0),F713/G713,"")</f>
        <v/>
      </c>
    </row>
    <row r="714">
      <c r="A714" s="4" t="inlineStr">
        <is>
          <t>101</t>
        </is>
      </c>
      <c r="B714" s="4" t="n">
        <v>1</v>
      </c>
      <c r="C714" s="4" t="inlineStr">
        <is>
          <t>whitetail</t>
        </is>
      </c>
      <c r="D714" s="4" t="n">
        <v>2022</v>
      </c>
      <c r="E714" s="5" t="n"/>
      <c r="F714" s="5" t="n"/>
      <c r="G714" s="5" t="n">
        <v>1126</v>
      </c>
      <c r="H714" s="10">
        <f>IF(E714&gt;0,G714/E714,"")</f>
        <v/>
      </c>
      <c r="I714" s="11">
        <f>IF(AND(F714&gt;0,G714&gt;0),F714/G714,"")</f>
        <v/>
      </c>
    </row>
    <row r="715">
      <c r="A715" s="4" t="inlineStr">
        <is>
          <t>101</t>
        </is>
      </c>
      <c r="B715" s="4" t="n">
        <v>1</v>
      </c>
      <c r="C715" s="4" t="inlineStr">
        <is>
          <t>whitetail</t>
        </is>
      </c>
      <c r="D715" s="4" t="n">
        <v>2023</v>
      </c>
      <c r="E715" s="5" t="n">
        <v>2955</v>
      </c>
      <c r="F715" s="5" t="n">
        <v>21834</v>
      </c>
      <c r="G715" s="5" t="n">
        <v>1176</v>
      </c>
      <c r="H715" s="10">
        <f>IF(E715&gt;0,G715/E715,"")</f>
        <v/>
      </c>
      <c r="I715" s="11">
        <f>IF(AND(F715&gt;0,G715&gt;0),F715/G715,"")</f>
        <v/>
      </c>
    </row>
    <row r="716">
      <c r="A716" s="4" t="inlineStr">
        <is>
          <t>101</t>
        </is>
      </c>
      <c r="B716" s="4" t="n">
        <v>1</v>
      </c>
      <c r="C716" s="4" t="inlineStr">
        <is>
          <t>whitetail</t>
        </is>
      </c>
      <c r="D716" s="4" t="n">
        <v>2024</v>
      </c>
      <c r="E716" s="5" t="n"/>
      <c r="F716" s="5" t="n"/>
      <c r="G716" s="5" t="n">
        <v>1441</v>
      </c>
      <c r="H716" s="10">
        <f>IF(E716&gt;0,G716/E716,"")</f>
        <v/>
      </c>
      <c r="I716" s="11">
        <f>IF(AND(F716&gt;0,G716&gt;0),F716/G716,"")</f>
        <v/>
      </c>
    </row>
    <row r="717">
      <c r="A717" s="4" t="inlineStr">
        <is>
          <t>101</t>
        </is>
      </c>
      <c r="B717" s="4" t="n">
        <v>1</v>
      </c>
      <c r="C717" s="4" t="inlineStr">
        <is>
          <t>whitetail</t>
        </is>
      </c>
      <c r="D717" s="4" t="n">
        <v>2025</v>
      </c>
      <c r="E717" s="5" t="n">
        <v>2913</v>
      </c>
      <c r="F717" s="5" t="n">
        <v>22019</v>
      </c>
      <c r="G717" s="5" t="n">
        <v>1066</v>
      </c>
      <c r="H717" s="10">
        <f>IF(E717&gt;0,G717/E717,"")</f>
        <v/>
      </c>
      <c r="I717" s="11">
        <f>IF(AND(F717&gt;0,G717&gt;0),F717/G717,"")</f>
        <v/>
      </c>
    </row>
    <row r="718">
      <c r="A718" s="4" t="inlineStr">
        <is>
          <t>102</t>
        </is>
      </c>
      <c r="B718" s="4" t="n">
        <v>1</v>
      </c>
      <c r="C718" s="4" t="inlineStr">
        <is>
          <t>whitetail</t>
        </is>
      </c>
      <c r="D718" s="4" t="n">
        <v>2021</v>
      </c>
      <c r="E718" s="5" t="n">
        <v>2620</v>
      </c>
      <c r="F718" s="5" t="n">
        <v>15805</v>
      </c>
      <c r="G718" s="5" t="n">
        <v>766</v>
      </c>
      <c r="H718" s="10">
        <f>IF(E718&gt;0,G718/E718,"")</f>
        <v/>
      </c>
      <c r="I718" s="11">
        <f>IF(AND(F718&gt;0,G718&gt;0),F718/G718,"")</f>
        <v/>
      </c>
    </row>
    <row r="719">
      <c r="A719" s="4" t="inlineStr">
        <is>
          <t>103</t>
        </is>
      </c>
      <c r="B719" s="4" t="n">
        <v>1</v>
      </c>
      <c r="C719" s="4" t="inlineStr">
        <is>
          <t>whitetail</t>
        </is>
      </c>
      <c r="D719" s="4" t="n">
        <v>2021</v>
      </c>
      <c r="E719" s="5" t="n">
        <v>2546</v>
      </c>
      <c r="F719" s="5" t="n">
        <v>18236</v>
      </c>
      <c r="G719" s="5" t="n">
        <v>1019</v>
      </c>
      <c r="H719" s="10">
        <f>IF(E719&gt;0,G719/E719,"")</f>
        <v/>
      </c>
      <c r="I719" s="11">
        <f>IF(AND(F719&gt;0,G719&gt;0),F719/G719,"")</f>
        <v/>
      </c>
    </row>
    <row r="720">
      <c r="A720" s="4" t="inlineStr">
        <is>
          <t>103</t>
        </is>
      </c>
      <c r="B720" s="4" t="n">
        <v>1</v>
      </c>
      <c r="C720" s="4" t="inlineStr">
        <is>
          <t>whitetail</t>
        </is>
      </c>
      <c r="D720" s="4" t="n">
        <v>2022</v>
      </c>
      <c r="E720" s="5" t="n"/>
      <c r="F720" s="5" t="n"/>
      <c r="G720" s="5" t="n">
        <v>1575</v>
      </c>
      <c r="H720" s="10">
        <f>IF(E720&gt;0,G720/E720,"")</f>
        <v/>
      </c>
      <c r="I720" s="11">
        <f>IF(AND(F720&gt;0,G720&gt;0),F720/G720,"")</f>
        <v/>
      </c>
    </row>
    <row r="721">
      <c r="A721" s="4" t="inlineStr">
        <is>
          <t>103</t>
        </is>
      </c>
      <c r="B721" s="4" t="n">
        <v>1</v>
      </c>
      <c r="C721" s="4" t="inlineStr">
        <is>
          <t>whitetail</t>
        </is>
      </c>
      <c r="D721" s="4" t="n">
        <v>2023</v>
      </c>
      <c r="E721" s="5" t="n">
        <v>5391</v>
      </c>
      <c r="F721" s="5" t="n">
        <v>39826</v>
      </c>
      <c r="G721" s="5" t="n">
        <v>1771</v>
      </c>
      <c r="H721" s="10">
        <f>IF(E721&gt;0,G721/E721,"")</f>
        <v/>
      </c>
      <c r="I721" s="11">
        <f>IF(AND(F721&gt;0,G721&gt;0),F721/G721,"")</f>
        <v/>
      </c>
    </row>
    <row r="722">
      <c r="A722" s="4" t="inlineStr">
        <is>
          <t>103</t>
        </is>
      </c>
      <c r="B722" s="4" t="n">
        <v>1</v>
      </c>
      <c r="C722" s="4" t="inlineStr">
        <is>
          <t>whitetail</t>
        </is>
      </c>
      <c r="D722" s="4" t="n">
        <v>2024</v>
      </c>
      <c r="E722" s="5" t="n"/>
      <c r="F722" s="5" t="n"/>
      <c r="G722" s="5" t="n">
        <v>1760</v>
      </c>
      <c r="H722" s="10">
        <f>IF(E722&gt;0,G722/E722,"")</f>
        <v/>
      </c>
      <c r="I722" s="11">
        <f>IF(AND(F722&gt;0,G722&gt;0),F722/G722,"")</f>
        <v/>
      </c>
    </row>
    <row r="723">
      <c r="A723" s="4" t="inlineStr">
        <is>
          <t>103</t>
        </is>
      </c>
      <c r="B723" s="4" t="n">
        <v>1</v>
      </c>
      <c r="C723" s="4" t="inlineStr">
        <is>
          <t>whitetail</t>
        </is>
      </c>
      <c r="D723" s="4" t="n">
        <v>2025</v>
      </c>
      <c r="E723" s="5" t="n">
        <v>5147</v>
      </c>
      <c r="F723" s="5" t="n">
        <v>35014</v>
      </c>
      <c r="G723" s="5" t="n">
        <v>1503</v>
      </c>
      <c r="H723" s="10">
        <f>IF(E723&gt;0,G723/E723,"")</f>
        <v/>
      </c>
      <c r="I723" s="11">
        <f>IF(AND(F723&gt;0,G723&gt;0),F723/G723,"")</f>
        <v/>
      </c>
    </row>
    <row r="724">
      <c r="A724" s="4" t="inlineStr">
        <is>
          <t>104</t>
        </is>
      </c>
      <c r="B724" s="4" t="n">
        <v>1</v>
      </c>
      <c r="C724" s="4" t="inlineStr">
        <is>
          <t>whitetail</t>
        </is>
      </c>
      <c r="D724" s="4" t="n">
        <v>2021</v>
      </c>
      <c r="E724" s="5" t="n">
        <v>1283</v>
      </c>
      <c r="F724" s="5" t="n">
        <v>10730</v>
      </c>
      <c r="G724" s="5" t="n">
        <v>464</v>
      </c>
      <c r="H724" s="10">
        <f>IF(E724&gt;0,G724/E724,"")</f>
        <v/>
      </c>
      <c r="I724" s="11">
        <f>IF(AND(F724&gt;0,G724&gt;0),F724/G724,"")</f>
        <v/>
      </c>
    </row>
    <row r="725">
      <c r="A725" s="4" t="inlineStr">
        <is>
          <t>104</t>
        </is>
      </c>
      <c r="B725" s="4" t="n">
        <v>1</v>
      </c>
      <c r="C725" s="4" t="inlineStr">
        <is>
          <t>whitetail</t>
        </is>
      </c>
      <c r="D725" s="4" t="n">
        <v>2022</v>
      </c>
      <c r="E725" s="5" t="n"/>
      <c r="F725" s="5" t="n"/>
      <c r="G725" s="5" t="n">
        <v>480</v>
      </c>
      <c r="H725" s="10">
        <f>IF(E725&gt;0,G725/E725,"")</f>
        <v/>
      </c>
      <c r="I725" s="11">
        <f>IF(AND(F725&gt;0,G725&gt;0),F725/G725,"")</f>
        <v/>
      </c>
    </row>
    <row r="726">
      <c r="A726" s="4" t="inlineStr">
        <is>
          <t>104</t>
        </is>
      </c>
      <c r="B726" s="4" t="n">
        <v>1</v>
      </c>
      <c r="C726" s="4" t="inlineStr">
        <is>
          <t>whitetail</t>
        </is>
      </c>
      <c r="D726" s="4" t="n">
        <v>2023</v>
      </c>
      <c r="E726" s="5" t="n">
        <v>1264</v>
      </c>
      <c r="F726" s="5" t="n">
        <v>9592</v>
      </c>
      <c r="G726" s="5" t="n">
        <v>450</v>
      </c>
      <c r="H726" s="10">
        <f>IF(E726&gt;0,G726/E726,"")</f>
        <v/>
      </c>
      <c r="I726" s="11">
        <f>IF(AND(F726&gt;0,G726&gt;0),F726/G726,"")</f>
        <v/>
      </c>
    </row>
    <row r="727">
      <c r="A727" s="4" t="inlineStr">
        <is>
          <t>104</t>
        </is>
      </c>
      <c r="B727" s="4" t="n">
        <v>1</v>
      </c>
      <c r="C727" s="4" t="inlineStr">
        <is>
          <t>whitetail</t>
        </is>
      </c>
      <c r="D727" s="4" t="n">
        <v>2024</v>
      </c>
      <c r="E727" s="5" t="n"/>
      <c r="F727" s="5" t="n"/>
      <c r="G727" s="5" t="n">
        <v>551</v>
      </c>
      <c r="H727" s="10">
        <f>IF(E727&gt;0,G727/E727,"")</f>
        <v/>
      </c>
      <c r="I727" s="11">
        <f>IF(AND(F727&gt;0,G727&gt;0),F727/G727,"")</f>
        <v/>
      </c>
    </row>
    <row r="728">
      <c r="A728" s="4" t="inlineStr">
        <is>
          <t>104</t>
        </is>
      </c>
      <c r="B728" s="4" t="n">
        <v>1</v>
      </c>
      <c r="C728" s="4" t="inlineStr">
        <is>
          <t>whitetail</t>
        </is>
      </c>
      <c r="D728" s="4" t="n">
        <v>2025</v>
      </c>
      <c r="E728" s="5" t="n">
        <v>1575</v>
      </c>
      <c r="F728" s="5" t="n">
        <v>12880</v>
      </c>
      <c r="G728" s="5" t="n">
        <v>469</v>
      </c>
      <c r="H728" s="10">
        <f>IF(E728&gt;0,G728/E728,"")</f>
        <v/>
      </c>
      <c r="I728" s="11">
        <f>IF(AND(F728&gt;0,G728&gt;0),F728/G728,"")</f>
        <v/>
      </c>
    </row>
    <row r="729">
      <c r="A729" s="4" t="inlineStr">
        <is>
          <t>109</t>
        </is>
      </c>
      <c r="B729" s="4" t="n">
        <v>1</v>
      </c>
      <c r="C729" s="4" t="inlineStr">
        <is>
          <t>whitetail</t>
        </is>
      </c>
      <c r="D729" s="4" t="n">
        <v>2021</v>
      </c>
      <c r="E729" s="5" t="n">
        <v>532</v>
      </c>
      <c r="F729" s="5" t="n">
        <v>3607</v>
      </c>
      <c r="G729" s="5" t="n">
        <v>238</v>
      </c>
      <c r="H729" s="10">
        <f>IF(E729&gt;0,G729/E729,"")</f>
        <v/>
      </c>
      <c r="I729" s="11">
        <f>IF(AND(F729&gt;0,G729&gt;0),F729/G729,"")</f>
        <v/>
      </c>
    </row>
    <row r="730">
      <c r="A730" s="4" t="inlineStr">
        <is>
          <t>110</t>
        </is>
      </c>
      <c r="B730" s="4" t="n">
        <v>1</v>
      </c>
      <c r="C730" s="4" t="inlineStr">
        <is>
          <t>whitetail</t>
        </is>
      </c>
      <c r="D730" s="4" t="n">
        <v>2021</v>
      </c>
      <c r="E730" s="5" t="n">
        <v>1118</v>
      </c>
      <c r="F730" s="5" t="n">
        <v>6739</v>
      </c>
      <c r="G730" s="5" t="n">
        <v>315</v>
      </c>
      <c r="H730" s="10">
        <f>IF(E730&gt;0,G730/E730,"")</f>
        <v/>
      </c>
      <c r="I730" s="11">
        <f>IF(AND(F730&gt;0,G730&gt;0),F730/G730,"")</f>
        <v/>
      </c>
    </row>
    <row r="731">
      <c r="A731" s="4" t="inlineStr">
        <is>
          <t>110</t>
        </is>
      </c>
      <c r="B731" s="4" t="n">
        <v>1</v>
      </c>
      <c r="C731" s="4" t="inlineStr">
        <is>
          <t>whitetail</t>
        </is>
      </c>
      <c r="D731" s="4" t="n">
        <v>2022</v>
      </c>
      <c r="E731" s="5" t="n"/>
      <c r="F731" s="5" t="n"/>
      <c r="G731" s="5" t="n">
        <v>408</v>
      </c>
      <c r="H731" s="10">
        <f>IF(E731&gt;0,G731/E731,"")</f>
        <v/>
      </c>
      <c r="I731" s="11">
        <f>IF(AND(F731&gt;0,G731&gt;0),F731/G731,"")</f>
        <v/>
      </c>
    </row>
    <row r="732">
      <c r="A732" s="4" t="inlineStr">
        <is>
          <t>110</t>
        </is>
      </c>
      <c r="B732" s="4" t="n">
        <v>1</v>
      </c>
      <c r="C732" s="4" t="inlineStr">
        <is>
          <t>whitetail</t>
        </is>
      </c>
      <c r="D732" s="4" t="n">
        <v>2023</v>
      </c>
      <c r="E732" s="5" t="n">
        <v>1360</v>
      </c>
      <c r="F732" s="5" t="n">
        <v>7975</v>
      </c>
      <c r="G732" s="5" t="n">
        <v>345</v>
      </c>
      <c r="H732" s="10">
        <f>IF(E732&gt;0,G732/E732,"")</f>
        <v/>
      </c>
      <c r="I732" s="11">
        <f>IF(AND(F732&gt;0,G732&gt;0),F732/G732,"")</f>
        <v/>
      </c>
    </row>
    <row r="733">
      <c r="A733" s="4" t="inlineStr">
        <is>
          <t>110</t>
        </is>
      </c>
      <c r="B733" s="4" t="n">
        <v>1</v>
      </c>
      <c r="C733" s="4" t="inlineStr">
        <is>
          <t>whitetail</t>
        </is>
      </c>
      <c r="D733" s="4" t="n">
        <v>2024</v>
      </c>
      <c r="E733" s="5" t="n"/>
      <c r="F733" s="5" t="n"/>
      <c r="G733" s="5" t="n">
        <v>479</v>
      </c>
      <c r="H733" s="10">
        <f>IF(E733&gt;0,G733/E733,"")</f>
        <v/>
      </c>
      <c r="I733" s="11">
        <f>IF(AND(F733&gt;0,G733&gt;0),F733/G733,"")</f>
        <v/>
      </c>
    </row>
    <row r="734">
      <c r="A734" s="4" t="inlineStr">
        <is>
          <t>110</t>
        </is>
      </c>
      <c r="B734" s="4" t="n">
        <v>1</v>
      </c>
      <c r="C734" s="4" t="inlineStr">
        <is>
          <t>whitetail</t>
        </is>
      </c>
      <c r="D734" s="4" t="n">
        <v>2025</v>
      </c>
      <c r="E734" s="5" t="n">
        <v>1344</v>
      </c>
      <c r="F734" s="5" t="n">
        <v>8403</v>
      </c>
      <c r="G734" s="5" t="n">
        <v>427</v>
      </c>
      <c r="H734" s="10">
        <f>IF(E734&gt;0,G734/E734,"")</f>
        <v/>
      </c>
      <c r="I734" s="11">
        <f>IF(AND(F734&gt;0,G734&gt;0),F734/G734,"")</f>
        <v/>
      </c>
    </row>
    <row r="735">
      <c r="A735" s="4" t="inlineStr">
        <is>
          <t>120</t>
        </is>
      </c>
      <c r="B735" s="4" t="n">
        <v>1</v>
      </c>
      <c r="C735" s="4" t="inlineStr">
        <is>
          <t>whitetail</t>
        </is>
      </c>
      <c r="D735" s="4" t="n">
        <v>2021</v>
      </c>
      <c r="E735" s="5" t="n">
        <v>1956</v>
      </c>
      <c r="F735" s="5" t="n">
        <v>12140</v>
      </c>
      <c r="G735" s="5" t="n">
        <v>620</v>
      </c>
      <c r="H735" s="10">
        <f>IF(E735&gt;0,G735/E735,"")</f>
        <v/>
      </c>
      <c r="I735" s="11">
        <f>IF(AND(F735&gt;0,G735&gt;0),F735/G735,"")</f>
        <v/>
      </c>
    </row>
    <row r="736">
      <c r="A736" s="4" t="inlineStr">
        <is>
          <t>120</t>
        </is>
      </c>
      <c r="B736" s="4" t="n">
        <v>1</v>
      </c>
      <c r="C736" s="4" t="inlineStr">
        <is>
          <t>whitetail</t>
        </is>
      </c>
      <c r="D736" s="4" t="n">
        <v>2022</v>
      </c>
      <c r="E736" s="5" t="n"/>
      <c r="F736" s="5" t="n"/>
      <c r="G736" s="5" t="n">
        <v>662</v>
      </c>
      <c r="H736" s="10">
        <f>IF(E736&gt;0,G736/E736,"")</f>
        <v/>
      </c>
      <c r="I736" s="11">
        <f>IF(AND(F736&gt;0,G736&gt;0),F736/G736,"")</f>
        <v/>
      </c>
    </row>
    <row r="737">
      <c r="A737" s="4" t="inlineStr">
        <is>
          <t>120</t>
        </is>
      </c>
      <c r="B737" s="4" t="n">
        <v>1</v>
      </c>
      <c r="C737" s="4" t="inlineStr">
        <is>
          <t>whitetail</t>
        </is>
      </c>
      <c r="D737" s="4" t="n">
        <v>2023</v>
      </c>
      <c r="E737" s="5" t="n">
        <v>2206</v>
      </c>
      <c r="F737" s="5" t="n">
        <v>14981</v>
      </c>
      <c r="G737" s="5" t="n">
        <v>657</v>
      </c>
      <c r="H737" s="10">
        <f>IF(E737&gt;0,G737/E737,"")</f>
        <v/>
      </c>
      <c r="I737" s="11">
        <f>IF(AND(F737&gt;0,G737&gt;0),F737/G737,"")</f>
        <v/>
      </c>
    </row>
    <row r="738">
      <c r="A738" s="4" t="inlineStr">
        <is>
          <t>120</t>
        </is>
      </c>
      <c r="B738" s="4" t="n">
        <v>1</v>
      </c>
      <c r="C738" s="4" t="inlineStr">
        <is>
          <t>whitetail</t>
        </is>
      </c>
      <c r="D738" s="4" t="n">
        <v>2024</v>
      </c>
      <c r="E738" s="5" t="n"/>
      <c r="F738" s="5" t="n"/>
      <c r="G738" s="5" t="n">
        <v>691</v>
      </c>
      <c r="H738" s="10">
        <f>IF(E738&gt;0,G738/E738,"")</f>
        <v/>
      </c>
      <c r="I738" s="11">
        <f>IF(AND(F738&gt;0,G738&gt;0),F738/G738,"")</f>
        <v/>
      </c>
    </row>
    <row r="739">
      <c r="A739" s="4" t="inlineStr">
        <is>
          <t>120</t>
        </is>
      </c>
      <c r="B739" s="4" t="n">
        <v>1</v>
      </c>
      <c r="C739" s="4" t="inlineStr">
        <is>
          <t>whitetail</t>
        </is>
      </c>
      <c r="D739" s="4" t="n">
        <v>2025</v>
      </c>
      <c r="E739" s="5" t="n">
        <v>2179</v>
      </c>
      <c r="F739" s="5" t="n">
        <v>14543</v>
      </c>
      <c r="G739" s="5" t="n">
        <v>642</v>
      </c>
      <c r="H739" s="10">
        <f>IF(E739&gt;0,G739/E739,"")</f>
        <v/>
      </c>
      <c r="I739" s="11">
        <f>IF(AND(F739&gt;0,G739&gt;0),F739/G739,"")</f>
        <v/>
      </c>
    </row>
    <row r="740">
      <c r="A740" s="4" t="inlineStr">
        <is>
          <t>121</t>
        </is>
      </c>
      <c r="B740" s="4" t="n">
        <v>1</v>
      </c>
      <c r="C740" s="4" t="inlineStr">
        <is>
          <t>whitetail</t>
        </is>
      </c>
      <c r="D740" s="4" t="n">
        <v>2021</v>
      </c>
      <c r="E740" s="5" t="n">
        <v>2404</v>
      </c>
      <c r="F740" s="5" t="n">
        <v>20248</v>
      </c>
      <c r="G740" s="5" t="n">
        <v>753</v>
      </c>
      <c r="H740" s="10">
        <f>IF(E740&gt;0,G740/E740,"")</f>
        <v/>
      </c>
      <c r="I740" s="11">
        <f>IF(AND(F740&gt;0,G740&gt;0),F740/G740,"")</f>
        <v/>
      </c>
    </row>
    <row r="741">
      <c r="A741" s="4" t="inlineStr">
        <is>
          <t>121</t>
        </is>
      </c>
      <c r="B741" s="4" t="n">
        <v>1</v>
      </c>
      <c r="C741" s="4" t="inlineStr">
        <is>
          <t>whitetail</t>
        </is>
      </c>
      <c r="D741" s="4" t="n">
        <v>2022</v>
      </c>
      <c r="E741" s="5" t="n"/>
      <c r="F741" s="5" t="n"/>
      <c r="G741" s="5" t="n">
        <v>742</v>
      </c>
      <c r="H741" s="10">
        <f>IF(E741&gt;0,G741/E741,"")</f>
        <v/>
      </c>
      <c r="I741" s="11">
        <f>IF(AND(F741&gt;0,G741&gt;0),F741/G741,"")</f>
        <v/>
      </c>
    </row>
    <row r="742">
      <c r="A742" s="4" t="inlineStr">
        <is>
          <t>121</t>
        </is>
      </c>
      <c r="B742" s="4" t="n">
        <v>1</v>
      </c>
      <c r="C742" s="4" t="inlineStr">
        <is>
          <t>whitetail</t>
        </is>
      </c>
      <c r="D742" s="4" t="n">
        <v>2023</v>
      </c>
      <c r="E742" s="5" t="n">
        <v>2551</v>
      </c>
      <c r="F742" s="5" t="n">
        <v>21482</v>
      </c>
      <c r="G742" s="5" t="n">
        <v>808</v>
      </c>
      <c r="H742" s="10">
        <f>IF(E742&gt;0,G742/E742,"")</f>
        <v/>
      </c>
      <c r="I742" s="11">
        <f>IF(AND(F742&gt;0,G742&gt;0),F742/G742,"")</f>
        <v/>
      </c>
    </row>
    <row r="743">
      <c r="A743" s="4" t="inlineStr">
        <is>
          <t>121</t>
        </is>
      </c>
      <c r="B743" s="4" t="n">
        <v>1</v>
      </c>
      <c r="C743" s="4" t="inlineStr">
        <is>
          <t>whitetail</t>
        </is>
      </c>
      <c r="D743" s="4" t="n">
        <v>2024</v>
      </c>
      <c r="E743" s="5" t="n"/>
      <c r="F743" s="5" t="n"/>
      <c r="G743" s="5" t="n">
        <v>937</v>
      </c>
      <c r="H743" s="10">
        <f>IF(E743&gt;0,G743/E743,"")</f>
        <v/>
      </c>
      <c r="I743" s="11">
        <f>IF(AND(F743&gt;0,G743&gt;0),F743/G743,"")</f>
        <v/>
      </c>
    </row>
    <row r="744">
      <c r="A744" s="4" t="inlineStr">
        <is>
          <t>121</t>
        </is>
      </c>
      <c r="B744" s="4" t="n">
        <v>1</v>
      </c>
      <c r="C744" s="4" t="inlineStr">
        <is>
          <t>whitetail</t>
        </is>
      </c>
      <c r="D744" s="4" t="n">
        <v>2025</v>
      </c>
      <c r="E744" s="5" t="n">
        <v>2639</v>
      </c>
      <c r="F744" s="5" t="n">
        <v>22986</v>
      </c>
      <c r="G744" s="5" t="n">
        <v>979</v>
      </c>
      <c r="H744" s="10">
        <f>IF(E744&gt;0,G744/E744,"")</f>
        <v/>
      </c>
      <c r="I744" s="11">
        <f>IF(AND(F744&gt;0,G744&gt;0),F744/G744,"")</f>
        <v/>
      </c>
    </row>
    <row r="745">
      <c r="A745" s="4" t="inlineStr">
        <is>
          <t>122</t>
        </is>
      </c>
      <c r="B745" s="4" t="n">
        <v>1</v>
      </c>
      <c r="C745" s="4" t="inlineStr">
        <is>
          <t>whitetail</t>
        </is>
      </c>
      <c r="D745" s="4" t="n">
        <v>2021</v>
      </c>
      <c r="E745" s="5" t="n">
        <v>1896</v>
      </c>
      <c r="F745" s="5" t="n">
        <v>15178</v>
      </c>
      <c r="G745" s="5" t="n">
        <v>478</v>
      </c>
      <c r="H745" s="10">
        <f>IF(E745&gt;0,G745/E745,"")</f>
        <v/>
      </c>
      <c r="I745" s="11">
        <f>IF(AND(F745&gt;0,G745&gt;0),F745/G745,"")</f>
        <v/>
      </c>
    </row>
    <row r="746">
      <c r="A746" s="4" t="inlineStr">
        <is>
          <t>122</t>
        </is>
      </c>
      <c r="B746" s="4" t="n">
        <v>1</v>
      </c>
      <c r="C746" s="4" t="inlineStr">
        <is>
          <t>whitetail</t>
        </is>
      </c>
      <c r="D746" s="4" t="n">
        <v>2022</v>
      </c>
      <c r="E746" s="5" t="n"/>
      <c r="F746" s="5" t="n"/>
      <c r="G746" s="5" t="n">
        <v>504</v>
      </c>
      <c r="H746" s="10">
        <f>IF(E746&gt;0,G746/E746,"")</f>
        <v/>
      </c>
      <c r="I746" s="11">
        <f>IF(AND(F746&gt;0,G746&gt;0),F746/G746,"")</f>
        <v/>
      </c>
    </row>
    <row r="747">
      <c r="A747" s="4" t="inlineStr">
        <is>
          <t>122</t>
        </is>
      </c>
      <c r="B747" s="4" t="n">
        <v>1</v>
      </c>
      <c r="C747" s="4" t="inlineStr">
        <is>
          <t>whitetail</t>
        </is>
      </c>
      <c r="D747" s="4" t="n">
        <v>2023</v>
      </c>
      <c r="E747" s="5" t="n">
        <v>2183</v>
      </c>
      <c r="F747" s="5" t="n">
        <v>16754</v>
      </c>
      <c r="G747" s="5" t="n">
        <v>514</v>
      </c>
      <c r="H747" s="10">
        <f>IF(E747&gt;0,G747/E747,"")</f>
        <v/>
      </c>
      <c r="I747" s="11">
        <f>IF(AND(F747&gt;0,G747&gt;0),F747/G747,"")</f>
        <v/>
      </c>
    </row>
    <row r="748">
      <c r="A748" s="4" t="inlineStr">
        <is>
          <t>122</t>
        </is>
      </c>
      <c r="B748" s="4" t="n">
        <v>1</v>
      </c>
      <c r="C748" s="4" t="inlineStr">
        <is>
          <t>whitetail</t>
        </is>
      </c>
      <c r="D748" s="4" t="n">
        <v>2024</v>
      </c>
      <c r="E748" s="5" t="n"/>
      <c r="F748" s="5" t="n"/>
      <c r="G748" s="5" t="n">
        <v>595</v>
      </c>
      <c r="H748" s="10">
        <f>IF(E748&gt;0,G748/E748,"")</f>
        <v/>
      </c>
      <c r="I748" s="11">
        <f>IF(AND(F748&gt;0,G748&gt;0),F748/G748,"")</f>
        <v/>
      </c>
    </row>
    <row r="749">
      <c r="A749" s="4" t="inlineStr">
        <is>
          <t>122</t>
        </is>
      </c>
      <c r="B749" s="4" t="n">
        <v>1</v>
      </c>
      <c r="C749" s="4" t="inlineStr">
        <is>
          <t>whitetail</t>
        </is>
      </c>
      <c r="D749" s="4" t="n">
        <v>2025</v>
      </c>
      <c r="E749" s="5" t="n">
        <v>2412</v>
      </c>
      <c r="F749" s="5" t="n">
        <v>18636</v>
      </c>
      <c r="G749" s="5" t="n">
        <v>634</v>
      </c>
      <c r="H749" s="10">
        <f>IF(E749&gt;0,G749/E749,"")</f>
        <v/>
      </c>
      <c r="I749" s="11">
        <f>IF(AND(F749&gt;0,G749&gt;0),F749/G749,"")</f>
        <v/>
      </c>
    </row>
    <row r="750">
      <c r="A750" s="4" t="inlineStr">
        <is>
          <t>123</t>
        </is>
      </c>
      <c r="B750" s="4" t="n">
        <v>1</v>
      </c>
      <c r="C750" s="4" t="inlineStr">
        <is>
          <t>whitetail</t>
        </is>
      </c>
      <c r="D750" s="4" t="n">
        <v>2021</v>
      </c>
      <c r="E750" s="5" t="n">
        <v>603</v>
      </c>
      <c r="F750" s="5" t="n">
        <v>3638</v>
      </c>
      <c r="G750" s="5" t="n">
        <v>107</v>
      </c>
      <c r="H750" s="10">
        <f>IF(E750&gt;0,G750/E750,"")</f>
        <v/>
      </c>
      <c r="I750" s="11">
        <f>IF(AND(F750&gt;0,G750&gt;0),F750/G750,"")</f>
        <v/>
      </c>
    </row>
    <row r="751">
      <c r="A751" s="4" t="inlineStr">
        <is>
          <t>123</t>
        </is>
      </c>
      <c r="B751" s="4" t="n">
        <v>1</v>
      </c>
      <c r="C751" s="4" t="inlineStr">
        <is>
          <t>whitetail</t>
        </is>
      </c>
      <c r="D751" s="4" t="n">
        <v>2022</v>
      </c>
      <c r="E751" s="5" t="n"/>
      <c r="F751" s="5" t="n"/>
      <c r="G751" s="5" t="n">
        <v>96</v>
      </c>
      <c r="H751" s="10">
        <f>IF(E751&gt;0,G751/E751,"")</f>
        <v/>
      </c>
      <c r="I751" s="11">
        <f>IF(AND(F751&gt;0,G751&gt;0),F751/G751,"")</f>
        <v/>
      </c>
    </row>
    <row r="752">
      <c r="A752" s="4" t="inlineStr">
        <is>
          <t>123</t>
        </is>
      </c>
      <c r="B752" s="4" t="n">
        <v>1</v>
      </c>
      <c r="C752" s="4" t="inlineStr">
        <is>
          <t>whitetail</t>
        </is>
      </c>
      <c r="D752" s="4" t="n">
        <v>2023</v>
      </c>
      <c r="E752" s="5" t="n">
        <v>585</v>
      </c>
      <c r="F752" s="5" t="n">
        <v>5209</v>
      </c>
      <c r="G752" s="5" t="n">
        <v>134</v>
      </c>
      <c r="H752" s="10">
        <f>IF(E752&gt;0,G752/E752,"")</f>
        <v/>
      </c>
      <c r="I752" s="11">
        <f>IF(AND(F752&gt;0,G752&gt;0),F752/G752,"")</f>
        <v/>
      </c>
    </row>
    <row r="753">
      <c r="A753" s="4" t="inlineStr">
        <is>
          <t>123</t>
        </is>
      </c>
      <c r="B753" s="4" t="n">
        <v>1</v>
      </c>
      <c r="C753" s="4" t="inlineStr">
        <is>
          <t>whitetail</t>
        </is>
      </c>
      <c r="D753" s="4" t="n">
        <v>2024</v>
      </c>
      <c r="E753" s="5" t="n"/>
      <c r="F753" s="5" t="n"/>
      <c r="G753" s="5" t="n">
        <v>163</v>
      </c>
      <c r="H753" s="10">
        <f>IF(E753&gt;0,G753/E753,"")</f>
        <v/>
      </c>
      <c r="I753" s="11">
        <f>IF(AND(F753&gt;0,G753&gt;0),F753/G753,"")</f>
        <v/>
      </c>
    </row>
    <row r="754">
      <c r="A754" s="4" t="inlineStr">
        <is>
          <t>123</t>
        </is>
      </c>
      <c r="B754" s="4" t="n">
        <v>1</v>
      </c>
      <c r="C754" s="4" t="inlineStr">
        <is>
          <t>whitetail</t>
        </is>
      </c>
      <c r="D754" s="4" t="n">
        <v>2025</v>
      </c>
      <c r="E754" s="5" t="n">
        <v>702</v>
      </c>
      <c r="F754" s="5" t="n">
        <v>5564</v>
      </c>
      <c r="G754" s="5" t="n">
        <v>161</v>
      </c>
      <c r="H754" s="10">
        <f>IF(E754&gt;0,G754/E754,"")</f>
        <v/>
      </c>
      <c r="I754" s="11">
        <f>IF(AND(F754&gt;0,G754&gt;0),F754/G754,"")</f>
        <v/>
      </c>
    </row>
    <row r="755">
      <c r="A755" s="4" t="inlineStr">
        <is>
          <t>124</t>
        </is>
      </c>
      <c r="B755" s="4" t="n">
        <v>1</v>
      </c>
      <c r="C755" s="4" t="inlineStr">
        <is>
          <t>whitetail</t>
        </is>
      </c>
      <c r="D755" s="4" t="n">
        <v>2021</v>
      </c>
      <c r="E755" s="5" t="n">
        <v>425</v>
      </c>
      <c r="F755" s="5" t="n">
        <v>3216</v>
      </c>
      <c r="G755" s="5" t="n">
        <v>99</v>
      </c>
      <c r="H755" s="10">
        <f>IF(E755&gt;0,G755/E755,"")</f>
        <v/>
      </c>
      <c r="I755" s="11">
        <f>IF(AND(F755&gt;0,G755&gt;0),F755/G755,"")</f>
        <v/>
      </c>
    </row>
    <row r="756">
      <c r="A756" s="4" t="inlineStr">
        <is>
          <t>124</t>
        </is>
      </c>
      <c r="B756" s="4" t="n">
        <v>1</v>
      </c>
      <c r="C756" s="4" t="inlineStr">
        <is>
          <t>whitetail</t>
        </is>
      </c>
      <c r="D756" s="4" t="n">
        <v>2022</v>
      </c>
      <c r="E756" s="5" t="n"/>
      <c r="F756" s="5" t="n"/>
      <c r="G756" s="5" t="n">
        <v>87</v>
      </c>
      <c r="H756" s="10">
        <f>IF(E756&gt;0,G756/E756,"")</f>
        <v/>
      </c>
      <c r="I756" s="11">
        <f>IF(AND(F756&gt;0,G756&gt;0),F756/G756,"")</f>
        <v/>
      </c>
    </row>
    <row r="757">
      <c r="A757" s="4" t="inlineStr">
        <is>
          <t>124</t>
        </is>
      </c>
      <c r="B757" s="4" t="n">
        <v>1</v>
      </c>
      <c r="C757" s="4" t="inlineStr">
        <is>
          <t>whitetail</t>
        </is>
      </c>
      <c r="D757" s="4" t="n">
        <v>2023</v>
      </c>
      <c r="E757" s="5" t="n">
        <v>446</v>
      </c>
      <c r="F757" s="5" t="n">
        <v>3681</v>
      </c>
      <c r="G757" s="5" t="n">
        <v>114</v>
      </c>
      <c r="H757" s="10">
        <f>IF(E757&gt;0,G757/E757,"")</f>
        <v/>
      </c>
      <c r="I757" s="11">
        <f>IF(AND(F757&gt;0,G757&gt;0),F757/G757,"")</f>
        <v/>
      </c>
    </row>
    <row r="758">
      <c r="A758" s="4" t="inlineStr">
        <is>
          <t>124</t>
        </is>
      </c>
      <c r="B758" s="4" t="n">
        <v>1</v>
      </c>
      <c r="C758" s="4" t="inlineStr">
        <is>
          <t>whitetail</t>
        </is>
      </c>
      <c r="D758" s="4" t="n">
        <v>2024</v>
      </c>
      <c r="E758" s="5" t="n"/>
      <c r="F758" s="5" t="n"/>
      <c r="G758" s="5" t="n">
        <v>123</v>
      </c>
      <c r="H758" s="10">
        <f>IF(E758&gt;0,G758/E758,"")</f>
        <v/>
      </c>
      <c r="I758" s="11">
        <f>IF(AND(F758&gt;0,G758&gt;0),F758/G758,"")</f>
        <v/>
      </c>
    </row>
    <row r="759">
      <c r="A759" s="4" t="inlineStr">
        <is>
          <t>124</t>
        </is>
      </c>
      <c r="B759" s="4" t="n">
        <v>1</v>
      </c>
      <c r="C759" s="4" t="inlineStr">
        <is>
          <t>whitetail</t>
        </is>
      </c>
      <c r="D759" s="4" t="n">
        <v>2025</v>
      </c>
      <c r="E759" s="5" t="n">
        <v>441</v>
      </c>
      <c r="F759" s="5" t="n">
        <v>3426</v>
      </c>
      <c r="G759" s="5" t="n">
        <v>137</v>
      </c>
      <c r="H759" s="10">
        <f>IF(E759&gt;0,G759/E759,"")</f>
        <v/>
      </c>
      <c r="I759" s="11">
        <f>IF(AND(F759&gt;0,G759&gt;0),F759/G759,"")</f>
        <v/>
      </c>
    </row>
    <row r="760">
      <c r="A760" s="4" t="inlineStr">
        <is>
          <t>130</t>
        </is>
      </c>
      <c r="B760" s="4" t="n">
        <v>1</v>
      </c>
      <c r="C760" s="4" t="inlineStr">
        <is>
          <t>whitetail</t>
        </is>
      </c>
      <c r="D760" s="4" t="n">
        <v>2021</v>
      </c>
      <c r="E760" s="5" t="n">
        <v>1820</v>
      </c>
      <c r="F760" s="5" t="n">
        <v>11720</v>
      </c>
      <c r="G760" s="5" t="n">
        <v>550</v>
      </c>
      <c r="H760" s="10">
        <f>IF(E760&gt;0,G760/E760,"")</f>
        <v/>
      </c>
      <c r="I760" s="11">
        <f>IF(AND(F760&gt;0,G760&gt;0),F760/G760,"")</f>
        <v/>
      </c>
    </row>
    <row r="761">
      <c r="A761" s="4" t="inlineStr">
        <is>
          <t>130</t>
        </is>
      </c>
      <c r="B761" s="4" t="n">
        <v>1</v>
      </c>
      <c r="C761" s="4" t="inlineStr">
        <is>
          <t>whitetail</t>
        </is>
      </c>
      <c r="D761" s="4" t="n">
        <v>2022</v>
      </c>
      <c r="E761" s="5" t="n"/>
      <c r="F761" s="5" t="n"/>
      <c r="G761" s="5" t="n">
        <v>522</v>
      </c>
      <c r="H761" s="10">
        <f>IF(E761&gt;0,G761/E761,"")</f>
        <v/>
      </c>
      <c r="I761" s="11">
        <f>IF(AND(F761&gt;0,G761&gt;0),F761/G761,"")</f>
        <v/>
      </c>
    </row>
    <row r="762">
      <c r="A762" s="4" t="inlineStr">
        <is>
          <t>130</t>
        </is>
      </c>
      <c r="B762" s="4" t="n">
        <v>1</v>
      </c>
      <c r="C762" s="4" t="inlineStr">
        <is>
          <t>whitetail</t>
        </is>
      </c>
      <c r="D762" s="4" t="n">
        <v>2023</v>
      </c>
      <c r="E762" s="5" t="n">
        <v>1785</v>
      </c>
      <c r="F762" s="5" t="n">
        <v>11029</v>
      </c>
      <c r="G762" s="5" t="n">
        <v>534</v>
      </c>
      <c r="H762" s="10">
        <f>IF(E762&gt;0,G762/E762,"")</f>
        <v/>
      </c>
      <c r="I762" s="11">
        <f>IF(AND(F762&gt;0,G762&gt;0),F762/G762,"")</f>
        <v/>
      </c>
    </row>
    <row r="763">
      <c r="A763" s="4" t="inlineStr">
        <is>
          <t>130</t>
        </is>
      </c>
      <c r="B763" s="4" t="n">
        <v>1</v>
      </c>
      <c r="C763" s="4" t="inlineStr">
        <is>
          <t>whitetail</t>
        </is>
      </c>
      <c r="D763" s="4" t="n">
        <v>2024</v>
      </c>
      <c r="E763" s="5" t="n"/>
      <c r="F763" s="5" t="n"/>
      <c r="G763" s="5" t="n">
        <v>568</v>
      </c>
      <c r="H763" s="10">
        <f>IF(E763&gt;0,G763/E763,"")</f>
        <v/>
      </c>
      <c r="I763" s="11">
        <f>IF(AND(F763&gt;0,G763&gt;0),F763/G763,"")</f>
        <v/>
      </c>
    </row>
    <row r="764">
      <c r="A764" s="4" t="inlineStr">
        <is>
          <t>130</t>
        </is>
      </c>
      <c r="B764" s="4" t="n">
        <v>1</v>
      </c>
      <c r="C764" s="4" t="inlineStr">
        <is>
          <t>whitetail</t>
        </is>
      </c>
      <c r="D764" s="4" t="n">
        <v>2025</v>
      </c>
      <c r="E764" s="5" t="n">
        <v>2069</v>
      </c>
      <c r="F764" s="5" t="n">
        <v>12295</v>
      </c>
      <c r="G764" s="5" t="n">
        <v>605</v>
      </c>
      <c r="H764" s="10">
        <f>IF(E764&gt;0,G764/E764,"")</f>
        <v/>
      </c>
      <c r="I764" s="11">
        <f>IF(AND(F764&gt;0,G764&gt;0),F764/G764,"")</f>
        <v/>
      </c>
    </row>
    <row r="765">
      <c r="A765" s="4" t="inlineStr">
        <is>
          <t>140</t>
        </is>
      </c>
      <c r="B765" s="4" t="n">
        <v>1</v>
      </c>
      <c r="C765" s="4" t="inlineStr">
        <is>
          <t>whitetail</t>
        </is>
      </c>
      <c r="D765" s="4" t="n">
        <v>2021</v>
      </c>
      <c r="E765" s="5" t="n">
        <v>638</v>
      </c>
      <c r="F765" s="5" t="n">
        <v>4400</v>
      </c>
      <c r="G765" s="5" t="n">
        <v>152</v>
      </c>
      <c r="H765" s="10">
        <f>IF(E765&gt;0,G765/E765,"")</f>
        <v/>
      </c>
      <c r="I765" s="11">
        <f>IF(AND(F765&gt;0,G765&gt;0),F765/G765,"")</f>
        <v/>
      </c>
    </row>
    <row r="766">
      <c r="A766" s="4" t="inlineStr">
        <is>
          <t>140</t>
        </is>
      </c>
      <c r="B766" s="4" t="n">
        <v>1</v>
      </c>
      <c r="C766" s="4" t="inlineStr">
        <is>
          <t>whitetail</t>
        </is>
      </c>
      <c r="D766" s="4" t="n">
        <v>2022</v>
      </c>
      <c r="E766" s="5" t="n"/>
      <c r="F766" s="5" t="n"/>
      <c r="G766" s="5" t="n">
        <v>105</v>
      </c>
      <c r="H766" s="10">
        <f>IF(E766&gt;0,G766/E766,"")</f>
        <v/>
      </c>
      <c r="I766" s="11">
        <f>IF(AND(F766&gt;0,G766&gt;0),F766/G766,"")</f>
        <v/>
      </c>
    </row>
    <row r="767">
      <c r="A767" s="4" t="inlineStr">
        <is>
          <t>140</t>
        </is>
      </c>
      <c r="B767" s="4" t="n">
        <v>1</v>
      </c>
      <c r="C767" s="4" t="inlineStr">
        <is>
          <t>whitetail</t>
        </is>
      </c>
      <c r="D767" s="4" t="n">
        <v>2023</v>
      </c>
      <c r="E767" s="5" t="n">
        <v>628</v>
      </c>
      <c r="F767" s="5" t="n">
        <v>4228</v>
      </c>
      <c r="G767" s="5" t="n">
        <v>134</v>
      </c>
      <c r="H767" s="10">
        <f>IF(E767&gt;0,G767/E767,"")</f>
        <v/>
      </c>
      <c r="I767" s="11">
        <f>IF(AND(F767&gt;0,G767&gt;0),F767/G767,"")</f>
        <v/>
      </c>
    </row>
    <row r="768">
      <c r="A768" s="4" t="inlineStr">
        <is>
          <t>140</t>
        </is>
      </c>
      <c r="B768" s="4" t="n">
        <v>1</v>
      </c>
      <c r="C768" s="4" t="inlineStr">
        <is>
          <t>whitetail</t>
        </is>
      </c>
      <c r="D768" s="4" t="n">
        <v>2024</v>
      </c>
      <c r="E768" s="5" t="n"/>
      <c r="F768" s="5" t="n"/>
      <c r="G768" s="5" t="n">
        <v>180</v>
      </c>
      <c r="H768" s="10">
        <f>IF(E768&gt;0,G768/E768,"")</f>
        <v/>
      </c>
      <c r="I768" s="11">
        <f>IF(AND(F768&gt;0,G768&gt;0),F768/G768,"")</f>
        <v/>
      </c>
    </row>
    <row r="769">
      <c r="A769" s="4" t="inlineStr">
        <is>
          <t>140</t>
        </is>
      </c>
      <c r="B769" s="4" t="n">
        <v>1</v>
      </c>
      <c r="C769" s="4" t="inlineStr">
        <is>
          <t>whitetail</t>
        </is>
      </c>
      <c r="D769" s="4" t="n">
        <v>2025</v>
      </c>
      <c r="E769" s="5" t="n">
        <v>750</v>
      </c>
      <c r="F769" s="5" t="n">
        <v>4851</v>
      </c>
      <c r="G769" s="5" t="n">
        <v>124</v>
      </c>
      <c r="H769" s="10">
        <f>IF(E769&gt;0,G769/E769,"")</f>
        <v/>
      </c>
      <c r="I769" s="11">
        <f>IF(AND(F769&gt;0,G769&gt;0),F769/G769,"")</f>
        <v/>
      </c>
    </row>
    <row r="770">
      <c r="A770" s="4" t="inlineStr">
        <is>
          <t>141</t>
        </is>
      </c>
      <c r="B770" s="4" t="n">
        <v>1</v>
      </c>
      <c r="C770" s="4" t="inlineStr">
        <is>
          <t>whitetail</t>
        </is>
      </c>
      <c r="D770" s="4" t="n">
        <v>2021</v>
      </c>
      <c r="E770" s="5" t="n">
        <v>81</v>
      </c>
      <c r="F770" s="5" t="n">
        <v>694</v>
      </c>
      <c r="G770" s="5" t="n">
        <v>8</v>
      </c>
      <c r="H770" s="10">
        <f>IF(E770&gt;0,G770/E770,"")</f>
        <v/>
      </c>
      <c r="I770" s="11">
        <f>IF(AND(F770&gt;0,G770&gt;0),F770/G770,"")</f>
        <v/>
      </c>
    </row>
    <row r="771">
      <c r="A771" s="4" t="inlineStr">
        <is>
          <t>141</t>
        </is>
      </c>
      <c r="B771" s="4" t="n">
        <v>1</v>
      </c>
      <c r="C771" s="4" t="inlineStr">
        <is>
          <t>whitetail</t>
        </is>
      </c>
      <c r="D771" s="4" t="n">
        <v>2022</v>
      </c>
      <c r="E771" s="5" t="n"/>
      <c r="F771" s="5" t="n"/>
      <c r="G771" s="5" t="n">
        <v>3</v>
      </c>
      <c r="H771" s="10">
        <f>IF(E771&gt;0,G771/E771,"")</f>
        <v/>
      </c>
      <c r="I771" s="11">
        <f>IF(AND(F771&gt;0,G771&gt;0),F771/G771,"")</f>
        <v/>
      </c>
    </row>
    <row r="772">
      <c r="A772" s="4" t="inlineStr">
        <is>
          <t>141</t>
        </is>
      </c>
      <c r="B772" s="4" t="n">
        <v>1</v>
      </c>
      <c r="C772" s="4" t="inlineStr">
        <is>
          <t>whitetail</t>
        </is>
      </c>
      <c r="D772" s="4" t="n">
        <v>2023</v>
      </c>
      <c r="E772" s="5" t="n">
        <v>74</v>
      </c>
      <c r="F772" s="5" t="n">
        <v>390</v>
      </c>
      <c r="G772" s="5" t="n">
        <v>7</v>
      </c>
      <c r="H772" s="10">
        <f>IF(E772&gt;0,G772/E772,"")</f>
        <v/>
      </c>
      <c r="I772" s="11">
        <f>IF(AND(F772&gt;0,G772&gt;0),F772/G772,"")</f>
        <v/>
      </c>
    </row>
    <row r="773">
      <c r="A773" s="4" t="inlineStr">
        <is>
          <t>141</t>
        </is>
      </c>
      <c r="B773" s="4" t="n">
        <v>1</v>
      </c>
      <c r="C773" s="4" t="inlineStr">
        <is>
          <t>whitetail</t>
        </is>
      </c>
      <c r="D773" s="4" t="n">
        <v>2024</v>
      </c>
      <c r="E773" s="5" t="n"/>
      <c r="F773" s="5" t="n"/>
      <c r="G773" s="5" t="n">
        <v>19</v>
      </c>
      <c r="H773" s="10">
        <f>IF(E773&gt;0,G773/E773,"")</f>
        <v/>
      </c>
      <c r="I773" s="11">
        <f>IF(AND(F773&gt;0,G773&gt;0),F773/G773,"")</f>
        <v/>
      </c>
    </row>
    <row r="774">
      <c r="A774" s="4" t="inlineStr">
        <is>
          <t>141</t>
        </is>
      </c>
      <c r="B774" s="4" t="n">
        <v>1</v>
      </c>
      <c r="C774" s="4" t="inlineStr">
        <is>
          <t>whitetail</t>
        </is>
      </c>
      <c r="D774" s="4" t="n">
        <v>2025</v>
      </c>
      <c r="E774" s="5" t="n">
        <v>139</v>
      </c>
      <c r="F774" s="5" t="n">
        <v>1103</v>
      </c>
      <c r="G774" s="5" t="n">
        <v>18</v>
      </c>
      <c r="H774" s="10">
        <f>IF(E774&gt;0,G774/E774,"")</f>
        <v/>
      </c>
      <c r="I774" s="11">
        <f>IF(AND(F774&gt;0,G774&gt;0),F774/G774,"")</f>
        <v/>
      </c>
    </row>
    <row r="775">
      <c r="A775" s="4" t="inlineStr">
        <is>
          <t>150</t>
        </is>
      </c>
      <c r="B775" s="4" t="n">
        <v>1</v>
      </c>
      <c r="C775" s="4" t="inlineStr">
        <is>
          <t>whitetail</t>
        </is>
      </c>
      <c r="D775" s="4" t="n">
        <v>2021</v>
      </c>
      <c r="E775" s="5" t="n">
        <v>138</v>
      </c>
      <c r="F775" s="5" t="n">
        <v>1096</v>
      </c>
      <c r="G775" s="5" t="n">
        <v>20</v>
      </c>
      <c r="H775" s="10">
        <f>IF(E775&gt;0,G775/E775,"")</f>
        <v/>
      </c>
      <c r="I775" s="11">
        <f>IF(AND(F775&gt;0,G775&gt;0),F775/G775,"")</f>
        <v/>
      </c>
    </row>
    <row r="776">
      <c r="A776" s="4" t="inlineStr">
        <is>
          <t>150</t>
        </is>
      </c>
      <c r="B776" s="4" t="n">
        <v>1</v>
      </c>
      <c r="C776" s="4" t="inlineStr">
        <is>
          <t>whitetail</t>
        </is>
      </c>
      <c r="D776" s="4" t="n">
        <v>2022</v>
      </c>
      <c r="E776" s="5" t="n"/>
      <c r="F776" s="5" t="n"/>
      <c r="G776" s="5" t="n">
        <v>30</v>
      </c>
      <c r="H776" s="10">
        <f>IF(E776&gt;0,G776/E776,"")</f>
        <v/>
      </c>
      <c r="I776" s="11">
        <f>IF(AND(F776&gt;0,G776&gt;0),F776/G776,"")</f>
        <v/>
      </c>
    </row>
    <row r="777">
      <c r="A777" s="4" t="inlineStr">
        <is>
          <t>150</t>
        </is>
      </c>
      <c r="B777" s="4" t="n">
        <v>1</v>
      </c>
      <c r="C777" s="4" t="inlineStr">
        <is>
          <t>whitetail</t>
        </is>
      </c>
      <c r="D777" s="4" t="n">
        <v>2023</v>
      </c>
      <c r="E777" s="5" t="n">
        <v>205</v>
      </c>
      <c r="F777" s="5" t="n">
        <v>1388</v>
      </c>
      <c r="G777" s="5" t="n">
        <v>23</v>
      </c>
      <c r="H777" s="10">
        <f>IF(E777&gt;0,G777/E777,"")</f>
        <v/>
      </c>
      <c r="I777" s="11">
        <f>IF(AND(F777&gt;0,G777&gt;0),F777/G777,"")</f>
        <v/>
      </c>
    </row>
    <row r="778">
      <c r="A778" s="4" t="inlineStr">
        <is>
          <t>150</t>
        </is>
      </c>
      <c r="B778" s="4" t="n">
        <v>1</v>
      </c>
      <c r="C778" s="4" t="inlineStr">
        <is>
          <t>whitetail</t>
        </is>
      </c>
      <c r="D778" s="4" t="n">
        <v>2024</v>
      </c>
      <c r="E778" s="5" t="n"/>
      <c r="F778" s="5" t="n"/>
      <c r="G778" s="5" t="n">
        <v>9</v>
      </c>
      <c r="H778" s="10">
        <f>IF(E778&gt;0,G778/E778,"")</f>
        <v/>
      </c>
      <c r="I778" s="11">
        <f>IF(AND(F778&gt;0,G778&gt;0),F778/G778,"")</f>
        <v/>
      </c>
    </row>
    <row r="779">
      <c r="A779" s="4" t="inlineStr">
        <is>
          <t>150</t>
        </is>
      </c>
      <c r="B779" s="4" t="n">
        <v>1</v>
      </c>
      <c r="C779" s="4" t="inlineStr">
        <is>
          <t>whitetail</t>
        </is>
      </c>
      <c r="D779" s="4" t="n">
        <v>2025</v>
      </c>
      <c r="E779" s="5" t="n">
        <v>275</v>
      </c>
      <c r="F779" s="5" t="n">
        <v>1747</v>
      </c>
      <c r="G779" s="5" t="n">
        <v>34</v>
      </c>
      <c r="H779" s="10">
        <f>IF(E779&gt;0,G779/E779,"")</f>
        <v/>
      </c>
      <c r="I779" s="11">
        <f>IF(AND(F779&gt;0,G779&gt;0),F779/G779,"")</f>
        <v/>
      </c>
    </row>
    <row r="780">
      <c r="A780" s="4" t="inlineStr">
        <is>
          <t>170</t>
        </is>
      </c>
      <c r="B780" s="4" t="n">
        <v>1</v>
      </c>
      <c r="C780" s="4" t="inlineStr">
        <is>
          <t>whitetail</t>
        </is>
      </c>
      <c r="D780" s="4" t="n">
        <v>2021</v>
      </c>
      <c r="E780" s="5" t="n">
        <v>2244</v>
      </c>
      <c r="F780" s="5" t="n">
        <v>14012</v>
      </c>
      <c r="G780" s="5" t="n">
        <v>1428</v>
      </c>
      <c r="H780" s="10">
        <f>IF(E780&gt;0,G780/E780,"")</f>
        <v/>
      </c>
      <c r="I780" s="11">
        <f>IF(AND(F780&gt;0,G780&gt;0),F780/G780,"")</f>
        <v/>
      </c>
    </row>
    <row r="781">
      <c r="A781" s="4" t="inlineStr">
        <is>
          <t>170</t>
        </is>
      </c>
      <c r="B781" s="4" t="n">
        <v>1</v>
      </c>
      <c r="C781" s="4" t="inlineStr">
        <is>
          <t>whitetail</t>
        </is>
      </c>
      <c r="D781" s="4" t="n">
        <v>2022</v>
      </c>
      <c r="E781" s="5" t="n"/>
      <c r="F781" s="5" t="n"/>
      <c r="G781" s="5" t="n">
        <v>1471</v>
      </c>
      <c r="H781" s="10">
        <f>IF(E781&gt;0,G781/E781,"")</f>
        <v/>
      </c>
      <c r="I781" s="11">
        <f>IF(AND(F781&gt;0,G781&gt;0),F781/G781,"")</f>
        <v/>
      </c>
    </row>
    <row r="782">
      <c r="A782" s="4" t="inlineStr">
        <is>
          <t>170</t>
        </is>
      </c>
      <c r="B782" s="4" t="n">
        <v>1</v>
      </c>
      <c r="C782" s="4" t="inlineStr">
        <is>
          <t>whitetail</t>
        </is>
      </c>
      <c r="D782" s="4" t="n">
        <v>2023</v>
      </c>
      <c r="E782" s="5" t="n">
        <v>2431</v>
      </c>
      <c r="F782" s="5" t="n">
        <v>15560</v>
      </c>
      <c r="G782" s="5" t="n">
        <v>1328</v>
      </c>
      <c r="H782" s="10">
        <f>IF(E782&gt;0,G782/E782,"")</f>
        <v/>
      </c>
      <c r="I782" s="11">
        <f>IF(AND(F782&gt;0,G782&gt;0),F782/G782,"")</f>
        <v/>
      </c>
    </row>
    <row r="783">
      <c r="A783" s="4" t="inlineStr">
        <is>
          <t>170</t>
        </is>
      </c>
      <c r="B783" s="4" t="n">
        <v>1</v>
      </c>
      <c r="C783" s="4" t="inlineStr">
        <is>
          <t>whitetail</t>
        </is>
      </c>
      <c r="D783" s="4" t="n">
        <v>2024</v>
      </c>
      <c r="E783" s="5" t="n"/>
      <c r="F783" s="5" t="n"/>
      <c r="G783" s="5" t="n">
        <v>1790</v>
      </c>
      <c r="H783" s="10">
        <f>IF(E783&gt;0,G783/E783,"")</f>
        <v/>
      </c>
      <c r="I783" s="11">
        <f>IF(AND(F783&gt;0,G783&gt;0),F783/G783,"")</f>
        <v/>
      </c>
    </row>
    <row r="784">
      <c r="A784" s="4" t="inlineStr">
        <is>
          <t>170</t>
        </is>
      </c>
      <c r="B784" s="4" t="n">
        <v>1</v>
      </c>
      <c r="C784" s="4" t="inlineStr">
        <is>
          <t>whitetail</t>
        </is>
      </c>
      <c r="D784" s="4" t="n">
        <v>2025</v>
      </c>
      <c r="E784" s="5" t="n">
        <v>2713</v>
      </c>
      <c r="F784" s="5" t="n">
        <v>19536</v>
      </c>
      <c r="G784" s="5" t="n">
        <v>1750</v>
      </c>
      <c r="H784" s="10">
        <f>IF(E784&gt;0,G784/E784,"")</f>
        <v/>
      </c>
      <c r="I784" s="11">
        <f>IF(AND(F784&gt;0,G784&gt;0),F784/G784,"")</f>
        <v/>
      </c>
    </row>
    <row r="785">
      <c r="A785" s="4" t="inlineStr">
        <is>
          <t>200</t>
        </is>
      </c>
      <c r="B785" s="4" t="n">
        <v>2</v>
      </c>
      <c r="C785" s="4" t="inlineStr">
        <is>
          <t>whitetail</t>
        </is>
      </c>
      <c r="D785" s="4" t="n">
        <v>2021</v>
      </c>
      <c r="E785" s="5" t="n">
        <v>673</v>
      </c>
      <c r="F785" s="5" t="n">
        <v>5623</v>
      </c>
      <c r="G785" s="5" t="n">
        <v>212</v>
      </c>
      <c r="H785" s="10">
        <f>IF(E785&gt;0,G785/E785,"")</f>
        <v/>
      </c>
      <c r="I785" s="11">
        <f>IF(AND(F785&gt;0,G785&gt;0),F785/G785,"")</f>
        <v/>
      </c>
    </row>
    <row r="786">
      <c r="A786" s="4" t="inlineStr">
        <is>
          <t>200</t>
        </is>
      </c>
      <c r="B786" s="4" t="n">
        <v>2</v>
      </c>
      <c r="C786" s="4" t="inlineStr">
        <is>
          <t>whitetail</t>
        </is>
      </c>
      <c r="D786" s="4" t="n">
        <v>2022</v>
      </c>
      <c r="E786" s="5" t="n"/>
      <c r="F786" s="5" t="n"/>
      <c r="G786" s="5" t="n">
        <v>184</v>
      </c>
      <c r="H786" s="10">
        <f>IF(E786&gt;0,G786/E786,"")</f>
        <v/>
      </c>
      <c r="I786" s="11">
        <f>IF(AND(F786&gt;0,G786&gt;0),F786/G786,"")</f>
        <v/>
      </c>
    </row>
    <row r="787">
      <c r="A787" s="4" t="inlineStr">
        <is>
          <t>200</t>
        </is>
      </c>
      <c r="B787" s="4" t="n">
        <v>2</v>
      </c>
      <c r="C787" s="4" t="inlineStr">
        <is>
          <t>whitetail</t>
        </is>
      </c>
      <c r="D787" s="4" t="n">
        <v>2023</v>
      </c>
      <c r="E787" s="5" t="n">
        <v>750</v>
      </c>
      <c r="F787" s="5" t="n">
        <v>5843</v>
      </c>
      <c r="G787" s="5" t="n">
        <v>207</v>
      </c>
      <c r="H787" s="10">
        <f>IF(E787&gt;0,G787/E787,"")</f>
        <v/>
      </c>
      <c r="I787" s="11">
        <f>IF(AND(F787&gt;0,G787&gt;0),F787/G787,"")</f>
        <v/>
      </c>
    </row>
    <row r="788">
      <c r="A788" s="4" t="inlineStr">
        <is>
          <t>200</t>
        </is>
      </c>
      <c r="B788" s="4" t="n">
        <v>2</v>
      </c>
      <c r="C788" s="4" t="inlineStr">
        <is>
          <t>whitetail</t>
        </is>
      </c>
      <c r="D788" s="4" t="n">
        <v>2024</v>
      </c>
      <c r="E788" s="5" t="n"/>
      <c r="F788" s="5" t="n"/>
      <c r="G788" s="5" t="n">
        <v>201</v>
      </c>
      <c r="H788" s="10">
        <f>IF(E788&gt;0,G788/E788,"")</f>
        <v/>
      </c>
      <c r="I788" s="11">
        <f>IF(AND(F788&gt;0,G788&gt;0),F788/G788,"")</f>
        <v/>
      </c>
    </row>
    <row r="789">
      <c r="A789" s="4" t="inlineStr">
        <is>
          <t>200</t>
        </is>
      </c>
      <c r="B789" s="4" t="n">
        <v>2</v>
      </c>
      <c r="C789" s="4" t="inlineStr">
        <is>
          <t>whitetail</t>
        </is>
      </c>
      <c r="D789" s="4" t="n">
        <v>2025</v>
      </c>
      <c r="E789" s="5" t="n">
        <v>618</v>
      </c>
      <c r="F789" s="5" t="n">
        <v>4231</v>
      </c>
      <c r="G789" s="5" t="n">
        <v>175</v>
      </c>
      <c r="H789" s="10">
        <f>IF(E789&gt;0,G789/E789,"")</f>
        <v/>
      </c>
      <c r="I789" s="11">
        <f>IF(AND(F789&gt;0,G789&gt;0),F789/G789,"")</f>
        <v/>
      </c>
    </row>
    <row r="790">
      <c r="A790" s="4" t="inlineStr">
        <is>
          <t>201</t>
        </is>
      </c>
      <c r="B790" s="4" t="n">
        <v>2</v>
      </c>
      <c r="C790" s="4" t="inlineStr">
        <is>
          <t>whitetail</t>
        </is>
      </c>
      <c r="D790" s="4" t="n">
        <v>2021</v>
      </c>
      <c r="E790" s="5" t="n">
        <v>2164</v>
      </c>
      <c r="F790" s="5" t="n">
        <v>15777</v>
      </c>
      <c r="G790" s="5" t="n">
        <v>613</v>
      </c>
      <c r="H790" s="10">
        <f>IF(E790&gt;0,G790/E790,"")</f>
        <v/>
      </c>
      <c r="I790" s="11">
        <f>IF(AND(F790&gt;0,G790&gt;0),F790/G790,"")</f>
        <v/>
      </c>
    </row>
    <row r="791">
      <c r="A791" s="4" t="inlineStr">
        <is>
          <t>201</t>
        </is>
      </c>
      <c r="B791" s="4" t="n">
        <v>2</v>
      </c>
      <c r="C791" s="4" t="inlineStr">
        <is>
          <t>whitetail</t>
        </is>
      </c>
      <c r="D791" s="4" t="n">
        <v>2022</v>
      </c>
      <c r="E791" s="5" t="n"/>
      <c r="F791" s="5" t="n"/>
      <c r="G791" s="5" t="n">
        <v>863</v>
      </c>
      <c r="H791" s="10">
        <f>IF(E791&gt;0,G791/E791,"")</f>
        <v/>
      </c>
      <c r="I791" s="11">
        <f>IF(AND(F791&gt;0,G791&gt;0),F791/G791,"")</f>
        <v/>
      </c>
    </row>
    <row r="792">
      <c r="A792" s="4" t="inlineStr">
        <is>
          <t>201</t>
        </is>
      </c>
      <c r="B792" s="4" t="n">
        <v>2</v>
      </c>
      <c r="C792" s="4" t="inlineStr">
        <is>
          <t>whitetail</t>
        </is>
      </c>
      <c r="D792" s="4" t="n">
        <v>2023</v>
      </c>
      <c r="E792" s="5" t="n">
        <v>3619</v>
      </c>
      <c r="F792" s="5" t="n">
        <v>25408</v>
      </c>
      <c r="G792" s="5" t="n">
        <v>964</v>
      </c>
      <c r="H792" s="10">
        <f>IF(E792&gt;0,G792/E792,"")</f>
        <v/>
      </c>
      <c r="I792" s="11">
        <f>IF(AND(F792&gt;0,G792&gt;0),F792/G792,"")</f>
        <v/>
      </c>
    </row>
    <row r="793">
      <c r="A793" s="4" t="inlineStr">
        <is>
          <t>201</t>
        </is>
      </c>
      <c r="B793" s="4" t="n">
        <v>2</v>
      </c>
      <c r="C793" s="4" t="inlineStr">
        <is>
          <t>whitetail</t>
        </is>
      </c>
      <c r="D793" s="4" t="n">
        <v>2024</v>
      </c>
      <c r="E793" s="5" t="n"/>
      <c r="F793" s="5" t="n"/>
      <c r="G793" s="5" t="n">
        <v>1079</v>
      </c>
      <c r="H793" s="10">
        <f>IF(E793&gt;0,G793/E793,"")</f>
        <v/>
      </c>
      <c r="I793" s="11">
        <f>IF(AND(F793&gt;0,G793&gt;0),F793/G793,"")</f>
        <v/>
      </c>
    </row>
    <row r="794">
      <c r="A794" s="4" t="inlineStr">
        <is>
          <t>201</t>
        </is>
      </c>
      <c r="B794" s="4" t="n">
        <v>2</v>
      </c>
      <c r="C794" s="4" t="inlineStr">
        <is>
          <t>whitetail</t>
        </is>
      </c>
      <c r="D794" s="4" t="n">
        <v>2025</v>
      </c>
      <c r="E794" s="5" t="n">
        <v>3441</v>
      </c>
      <c r="F794" s="5" t="n">
        <v>23120</v>
      </c>
      <c r="G794" s="5" t="n">
        <v>841</v>
      </c>
      <c r="H794" s="10">
        <f>IF(E794&gt;0,G794/E794,"")</f>
        <v/>
      </c>
      <c r="I794" s="11">
        <f>IF(AND(F794&gt;0,G794&gt;0),F794/G794,"")</f>
        <v/>
      </c>
    </row>
    <row r="795">
      <c r="A795" s="4" t="inlineStr">
        <is>
          <t>202</t>
        </is>
      </c>
      <c r="B795" s="4" t="n">
        <v>2</v>
      </c>
      <c r="C795" s="4" t="inlineStr">
        <is>
          <t>whitetail</t>
        </is>
      </c>
      <c r="D795" s="4" t="n">
        <v>2021</v>
      </c>
      <c r="E795" s="5" t="n">
        <v>1402</v>
      </c>
      <c r="F795" s="5" t="n">
        <v>9944</v>
      </c>
      <c r="G795" s="5" t="n">
        <v>432</v>
      </c>
      <c r="H795" s="10">
        <f>IF(E795&gt;0,G795/E795,"")</f>
        <v/>
      </c>
      <c r="I795" s="11">
        <f>IF(AND(F795&gt;0,G795&gt;0),F795/G795,"")</f>
        <v/>
      </c>
    </row>
    <row r="796">
      <c r="A796" s="4" t="inlineStr">
        <is>
          <t>202</t>
        </is>
      </c>
      <c r="B796" s="4" t="n">
        <v>2</v>
      </c>
      <c r="C796" s="4" t="inlineStr">
        <is>
          <t>whitetail</t>
        </is>
      </c>
      <c r="D796" s="4" t="n">
        <v>2022</v>
      </c>
      <c r="E796" s="5" t="n"/>
      <c r="F796" s="5" t="n"/>
      <c r="G796" s="5" t="n">
        <v>606</v>
      </c>
      <c r="H796" s="10">
        <f>IF(E796&gt;0,G796/E796,"")</f>
        <v/>
      </c>
      <c r="I796" s="11">
        <f>IF(AND(F796&gt;0,G796&gt;0),F796/G796,"")</f>
        <v/>
      </c>
    </row>
    <row r="797">
      <c r="A797" s="4" t="inlineStr">
        <is>
          <t>202</t>
        </is>
      </c>
      <c r="B797" s="4" t="n">
        <v>2</v>
      </c>
      <c r="C797" s="4" t="inlineStr">
        <is>
          <t>whitetail</t>
        </is>
      </c>
      <c r="D797" s="4" t="n">
        <v>2023</v>
      </c>
      <c r="E797" s="5" t="n">
        <v>1796</v>
      </c>
      <c r="F797" s="5" t="n">
        <v>12826</v>
      </c>
      <c r="G797" s="5" t="n">
        <v>567</v>
      </c>
      <c r="H797" s="10">
        <f>IF(E797&gt;0,G797/E797,"")</f>
        <v/>
      </c>
      <c r="I797" s="11">
        <f>IF(AND(F797&gt;0,G797&gt;0),F797/G797,"")</f>
        <v/>
      </c>
    </row>
    <row r="798">
      <c r="A798" s="4" t="inlineStr">
        <is>
          <t>202</t>
        </is>
      </c>
      <c r="B798" s="4" t="n">
        <v>2</v>
      </c>
      <c r="C798" s="4" t="inlineStr">
        <is>
          <t>whitetail</t>
        </is>
      </c>
      <c r="D798" s="4" t="n">
        <v>2024</v>
      </c>
      <c r="E798" s="5" t="n"/>
      <c r="F798" s="5" t="n"/>
      <c r="G798" s="5" t="n">
        <v>547</v>
      </c>
      <c r="H798" s="10">
        <f>IF(E798&gt;0,G798/E798,"")</f>
        <v/>
      </c>
      <c r="I798" s="11">
        <f>IF(AND(F798&gt;0,G798&gt;0),F798/G798,"")</f>
        <v/>
      </c>
    </row>
    <row r="799">
      <c r="A799" s="4" t="inlineStr">
        <is>
          <t>202</t>
        </is>
      </c>
      <c r="B799" s="4" t="n">
        <v>2</v>
      </c>
      <c r="C799" s="4" t="inlineStr">
        <is>
          <t>whitetail</t>
        </is>
      </c>
      <c r="D799" s="4" t="n">
        <v>2025</v>
      </c>
      <c r="E799" s="5" t="n">
        <v>1814</v>
      </c>
      <c r="F799" s="5" t="n">
        <v>11696</v>
      </c>
      <c r="G799" s="5" t="n">
        <v>598</v>
      </c>
      <c r="H799" s="10">
        <f>IF(E799&gt;0,G799/E799,"")</f>
        <v/>
      </c>
      <c r="I799" s="11">
        <f>IF(AND(F799&gt;0,G799&gt;0),F799/G799,"")</f>
        <v/>
      </c>
    </row>
    <row r="800">
      <c r="A800" s="4" t="inlineStr">
        <is>
          <t>203</t>
        </is>
      </c>
      <c r="B800" s="4" t="n">
        <v>2</v>
      </c>
      <c r="C800" s="4" t="inlineStr">
        <is>
          <t>whitetail</t>
        </is>
      </c>
      <c r="D800" s="4" t="n">
        <v>2021</v>
      </c>
      <c r="E800" s="5" t="n">
        <v>1498</v>
      </c>
      <c r="F800" s="5" t="n">
        <v>8671</v>
      </c>
      <c r="G800" s="5" t="n">
        <v>309</v>
      </c>
      <c r="H800" s="10">
        <f>IF(E800&gt;0,G800/E800,"")</f>
        <v/>
      </c>
      <c r="I800" s="11">
        <f>IF(AND(F800&gt;0,G800&gt;0),F800/G800,"")</f>
        <v/>
      </c>
    </row>
    <row r="801">
      <c r="A801" s="4" t="inlineStr">
        <is>
          <t>204</t>
        </is>
      </c>
      <c r="B801" s="4" t="n">
        <v>2</v>
      </c>
      <c r="C801" s="4" t="inlineStr">
        <is>
          <t>whitetail</t>
        </is>
      </c>
      <c r="D801" s="4" t="n">
        <v>2021</v>
      </c>
      <c r="E801" s="5" t="n">
        <v>1092</v>
      </c>
      <c r="F801" s="5" t="n">
        <v>6666</v>
      </c>
      <c r="G801" s="5" t="n">
        <v>298</v>
      </c>
      <c r="H801" s="10">
        <f>IF(E801&gt;0,G801/E801,"")</f>
        <v/>
      </c>
      <c r="I801" s="11">
        <f>IF(AND(F801&gt;0,G801&gt;0),F801/G801,"")</f>
        <v/>
      </c>
    </row>
    <row r="802">
      <c r="A802" s="4" t="inlineStr">
        <is>
          <t>204</t>
        </is>
      </c>
      <c r="B802" s="4" t="n">
        <v>2</v>
      </c>
      <c r="C802" s="4" t="inlineStr">
        <is>
          <t>whitetail</t>
        </is>
      </c>
      <c r="D802" s="4" t="n">
        <v>2022</v>
      </c>
      <c r="E802" s="5" t="n"/>
      <c r="F802" s="5" t="n"/>
      <c r="G802" s="5" t="n">
        <v>418</v>
      </c>
      <c r="H802" s="10">
        <f>IF(E802&gt;0,G802/E802,"")</f>
        <v/>
      </c>
      <c r="I802" s="11">
        <f>IF(AND(F802&gt;0,G802&gt;0),F802/G802,"")</f>
        <v/>
      </c>
    </row>
    <row r="803">
      <c r="A803" s="4" t="inlineStr">
        <is>
          <t>204</t>
        </is>
      </c>
      <c r="B803" s="4" t="n">
        <v>2</v>
      </c>
      <c r="C803" s="4" t="inlineStr">
        <is>
          <t>whitetail</t>
        </is>
      </c>
      <c r="D803" s="4" t="n">
        <v>2023</v>
      </c>
      <c r="E803" s="5" t="n">
        <v>1491</v>
      </c>
      <c r="F803" s="5" t="n">
        <v>9948</v>
      </c>
      <c r="G803" s="5" t="n">
        <v>397</v>
      </c>
      <c r="H803" s="10">
        <f>IF(E803&gt;0,G803/E803,"")</f>
        <v/>
      </c>
      <c r="I803" s="11">
        <f>IF(AND(F803&gt;0,G803&gt;0),F803/G803,"")</f>
        <v/>
      </c>
    </row>
    <row r="804">
      <c r="A804" s="4" t="inlineStr">
        <is>
          <t>204</t>
        </is>
      </c>
      <c r="B804" s="4" t="n">
        <v>2</v>
      </c>
      <c r="C804" s="4" t="inlineStr">
        <is>
          <t>whitetail</t>
        </is>
      </c>
      <c r="D804" s="4" t="n">
        <v>2024</v>
      </c>
      <c r="E804" s="5" t="n"/>
      <c r="F804" s="5" t="n"/>
      <c r="G804" s="5" t="n">
        <v>402</v>
      </c>
      <c r="H804" s="10">
        <f>IF(E804&gt;0,G804/E804,"")</f>
        <v/>
      </c>
      <c r="I804" s="11">
        <f>IF(AND(F804&gt;0,G804&gt;0),F804/G804,"")</f>
        <v/>
      </c>
    </row>
    <row r="805">
      <c r="A805" s="4" t="inlineStr">
        <is>
          <t>204</t>
        </is>
      </c>
      <c r="B805" s="4" t="n">
        <v>2</v>
      </c>
      <c r="C805" s="4" t="inlineStr">
        <is>
          <t>whitetail</t>
        </is>
      </c>
      <c r="D805" s="4" t="n">
        <v>2025</v>
      </c>
      <c r="E805" s="5" t="n">
        <v>1386</v>
      </c>
      <c r="F805" s="5" t="n">
        <v>8644</v>
      </c>
      <c r="G805" s="5" t="n">
        <v>315</v>
      </c>
      <c r="H805" s="10">
        <f>IF(E805&gt;0,G805/E805,"")</f>
        <v/>
      </c>
      <c r="I805" s="11">
        <f>IF(AND(F805&gt;0,G805&gt;0),F805/G805,"")</f>
        <v/>
      </c>
    </row>
    <row r="806">
      <c r="A806" s="4" t="inlineStr">
        <is>
          <t>210</t>
        </is>
      </c>
      <c r="B806" s="4" t="n">
        <v>2</v>
      </c>
      <c r="C806" s="4" t="inlineStr">
        <is>
          <t>whitetail</t>
        </is>
      </c>
      <c r="D806" s="4" t="n">
        <v>2021</v>
      </c>
      <c r="E806" s="5" t="n">
        <v>870</v>
      </c>
      <c r="F806" s="5" t="n">
        <v>6185</v>
      </c>
      <c r="G806" s="5" t="n">
        <v>224</v>
      </c>
      <c r="H806" s="10">
        <f>IF(E806&gt;0,G806/E806,"")</f>
        <v/>
      </c>
      <c r="I806" s="11">
        <f>IF(AND(F806&gt;0,G806&gt;0),F806/G806,"")</f>
        <v/>
      </c>
    </row>
    <row r="807">
      <c r="A807" s="4" t="inlineStr">
        <is>
          <t>210</t>
        </is>
      </c>
      <c r="B807" s="4" t="n">
        <v>2</v>
      </c>
      <c r="C807" s="4" t="inlineStr">
        <is>
          <t>whitetail</t>
        </is>
      </c>
      <c r="D807" s="4" t="n">
        <v>2022</v>
      </c>
      <c r="E807" s="5" t="n"/>
      <c r="F807" s="5" t="n"/>
      <c r="G807" s="5" t="n">
        <v>241</v>
      </c>
      <c r="H807" s="10">
        <f>IF(E807&gt;0,G807/E807,"")</f>
        <v/>
      </c>
      <c r="I807" s="11">
        <f>IF(AND(F807&gt;0,G807&gt;0),F807/G807,"")</f>
        <v/>
      </c>
    </row>
    <row r="808">
      <c r="A808" s="4" t="inlineStr">
        <is>
          <t>210</t>
        </is>
      </c>
      <c r="B808" s="4" t="n">
        <v>2</v>
      </c>
      <c r="C808" s="4" t="inlineStr">
        <is>
          <t>whitetail</t>
        </is>
      </c>
      <c r="D808" s="4" t="n">
        <v>2023</v>
      </c>
      <c r="E808" s="5" t="n">
        <v>863</v>
      </c>
      <c r="F808" s="5" t="n">
        <v>4965</v>
      </c>
      <c r="G808" s="5" t="n">
        <v>254</v>
      </c>
      <c r="H808" s="10">
        <f>IF(E808&gt;0,G808/E808,"")</f>
        <v/>
      </c>
      <c r="I808" s="11">
        <f>IF(AND(F808&gt;0,G808&gt;0),F808/G808,"")</f>
        <v/>
      </c>
    </row>
    <row r="809">
      <c r="A809" s="4" t="inlineStr">
        <is>
          <t>210</t>
        </is>
      </c>
      <c r="B809" s="4" t="n">
        <v>2</v>
      </c>
      <c r="C809" s="4" t="inlineStr">
        <is>
          <t>whitetail</t>
        </is>
      </c>
      <c r="D809" s="4" t="n">
        <v>2024</v>
      </c>
      <c r="E809" s="5" t="n"/>
      <c r="F809" s="5" t="n"/>
      <c r="G809" s="5" t="n">
        <v>277</v>
      </c>
      <c r="H809" s="10">
        <f>IF(E809&gt;0,G809/E809,"")</f>
        <v/>
      </c>
      <c r="I809" s="11">
        <f>IF(AND(F809&gt;0,G809&gt;0),F809/G809,"")</f>
        <v/>
      </c>
    </row>
    <row r="810">
      <c r="A810" s="4" t="inlineStr">
        <is>
          <t>210</t>
        </is>
      </c>
      <c r="B810" s="4" t="n">
        <v>2</v>
      </c>
      <c r="C810" s="4" t="inlineStr">
        <is>
          <t>whitetail</t>
        </is>
      </c>
      <c r="D810" s="4" t="n">
        <v>2025</v>
      </c>
      <c r="E810" s="5" t="n">
        <v>875</v>
      </c>
      <c r="F810" s="5" t="n">
        <v>5787</v>
      </c>
      <c r="G810" s="5" t="n">
        <v>233</v>
      </c>
      <c r="H810" s="10">
        <f>IF(E810&gt;0,G810/E810,"")</f>
        <v/>
      </c>
      <c r="I810" s="11">
        <f>IF(AND(F810&gt;0,G810&gt;0),F810/G810,"")</f>
        <v/>
      </c>
    </row>
    <row r="811">
      <c r="A811" s="4" t="inlineStr">
        <is>
          <t>211</t>
        </is>
      </c>
      <c r="B811" s="4" t="n">
        <v>2</v>
      </c>
      <c r="C811" s="4" t="inlineStr">
        <is>
          <t>whitetail</t>
        </is>
      </c>
      <c r="D811" s="4" t="n">
        <v>2021</v>
      </c>
      <c r="E811" s="5" t="n">
        <v>433</v>
      </c>
      <c r="F811" s="5" t="n">
        <v>3571</v>
      </c>
      <c r="G811" s="5" t="n">
        <v>50</v>
      </c>
      <c r="H811" s="10">
        <f>IF(E811&gt;0,G811/E811,"")</f>
        <v/>
      </c>
      <c r="I811" s="11">
        <f>IF(AND(F811&gt;0,G811&gt;0),F811/G811,"")</f>
        <v/>
      </c>
    </row>
    <row r="812">
      <c r="A812" s="4" t="inlineStr">
        <is>
          <t>211</t>
        </is>
      </c>
      <c r="B812" s="4" t="n">
        <v>2</v>
      </c>
      <c r="C812" s="4" t="inlineStr">
        <is>
          <t>whitetail</t>
        </is>
      </c>
      <c r="D812" s="4" t="n">
        <v>2022</v>
      </c>
      <c r="E812" s="5" t="n"/>
      <c r="F812" s="5" t="n"/>
      <c r="G812" s="5" t="n">
        <v>39</v>
      </c>
      <c r="H812" s="10">
        <f>IF(E812&gt;0,G812/E812,"")</f>
        <v/>
      </c>
      <c r="I812" s="11">
        <f>IF(AND(F812&gt;0,G812&gt;0),F812/G812,"")</f>
        <v/>
      </c>
    </row>
    <row r="813">
      <c r="A813" s="4" t="inlineStr">
        <is>
          <t>211</t>
        </is>
      </c>
      <c r="B813" s="4" t="n">
        <v>2</v>
      </c>
      <c r="C813" s="4" t="inlineStr">
        <is>
          <t>whitetail</t>
        </is>
      </c>
      <c r="D813" s="4" t="n">
        <v>2023</v>
      </c>
      <c r="E813" s="5" t="n">
        <v>492</v>
      </c>
      <c r="F813" s="5" t="n">
        <v>3440</v>
      </c>
      <c r="G813" s="5" t="n">
        <v>37</v>
      </c>
      <c r="H813" s="10">
        <f>IF(E813&gt;0,G813/E813,"")</f>
        <v/>
      </c>
      <c r="I813" s="11">
        <f>IF(AND(F813&gt;0,G813&gt;0),F813/G813,"")</f>
        <v/>
      </c>
    </row>
    <row r="814">
      <c r="A814" s="4" t="inlineStr">
        <is>
          <t>211</t>
        </is>
      </c>
      <c r="B814" s="4" t="n">
        <v>2</v>
      </c>
      <c r="C814" s="4" t="inlineStr">
        <is>
          <t>whitetail</t>
        </is>
      </c>
      <c r="D814" s="4" t="n">
        <v>2024</v>
      </c>
      <c r="E814" s="5" t="n"/>
      <c r="F814" s="5" t="n"/>
      <c r="G814" s="5" t="n">
        <v>28</v>
      </c>
      <c r="H814" s="10">
        <f>IF(E814&gt;0,G814/E814,"")</f>
        <v/>
      </c>
      <c r="I814" s="11">
        <f>IF(AND(F814&gt;0,G814&gt;0),F814/G814,"")</f>
        <v/>
      </c>
    </row>
    <row r="815">
      <c r="A815" s="4" t="inlineStr">
        <is>
          <t>211</t>
        </is>
      </c>
      <c r="B815" s="4" t="n">
        <v>2</v>
      </c>
      <c r="C815" s="4" t="inlineStr">
        <is>
          <t>whitetail</t>
        </is>
      </c>
      <c r="D815" s="4" t="n">
        <v>2025</v>
      </c>
      <c r="E815" s="5" t="n">
        <v>566</v>
      </c>
      <c r="F815" s="5" t="n">
        <v>4532</v>
      </c>
      <c r="G815" s="5" t="n">
        <v>66</v>
      </c>
      <c r="H815" s="10">
        <f>IF(E815&gt;0,G815/E815,"")</f>
        <v/>
      </c>
      <c r="I815" s="11">
        <f>IF(AND(F815&gt;0,G815&gt;0),F815/G815,"")</f>
        <v/>
      </c>
    </row>
    <row r="816">
      <c r="A816" s="4" t="inlineStr">
        <is>
          <t>212</t>
        </is>
      </c>
      <c r="B816" s="4" t="n">
        <v>2</v>
      </c>
      <c r="C816" s="4" t="inlineStr">
        <is>
          <t>whitetail</t>
        </is>
      </c>
      <c r="D816" s="4" t="n">
        <v>2021</v>
      </c>
      <c r="E816" s="5" t="n">
        <v>341</v>
      </c>
      <c r="F816" s="5" t="n">
        <v>2413</v>
      </c>
      <c r="G816" s="5" t="n">
        <v>42</v>
      </c>
      <c r="H816" s="10">
        <f>IF(E816&gt;0,G816/E816,"")</f>
        <v/>
      </c>
      <c r="I816" s="11">
        <f>IF(AND(F816&gt;0,G816&gt;0),F816/G816,"")</f>
        <v/>
      </c>
    </row>
    <row r="817">
      <c r="A817" s="4" t="inlineStr">
        <is>
          <t>212</t>
        </is>
      </c>
      <c r="B817" s="4" t="n">
        <v>2</v>
      </c>
      <c r="C817" s="4" t="inlineStr">
        <is>
          <t>whitetail</t>
        </is>
      </c>
      <c r="D817" s="4" t="n">
        <v>2022</v>
      </c>
      <c r="E817" s="5" t="n"/>
      <c r="F817" s="5" t="n"/>
      <c r="G817" s="5" t="n">
        <v>28</v>
      </c>
      <c r="H817" s="10">
        <f>IF(E817&gt;0,G817/E817,"")</f>
        <v/>
      </c>
      <c r="I817" s="11">
        <f>IF(AND(F817&gt;0,G817&gt;0),F817/G817,"")</f>
        <v/>
      </c>
    </row>
    <row r="818">
      <c r="A818" s="4" t="inlineStr">
        <is>
          <t>212</t>
        </is>
      </c>
      <c r="B818" s="4" t="n">
        <v>2</v>
      </c>
      <c r="C818" s="4" t="inlineStr">
        <is>
          <t>whitetail</t>
        </is>
      </c>
      <c r="D818" s="4" t="n">
        <v>2023</v>
      </c>
      <c r="E818" s="5" t="n">
        <v>311</v>
      </c>
      <c r="F818" s="5" t="n">
        <v>1821</v>
      </c>
      <c r="G818" s="5" t="n">
        <v>26</v>
      </c>
      <c r="H818" s="10">
        <f>IF(E818&gt;0,G818/E818,"")</f>
        <v/>
      </c>
      <c r="I818" s="11">
        <f>IF(AND(F818&gt;0,G818&gt;0),F818/G818,"")</f>
        <v/>
      </c>
    </row>
    <row r="819">
      <c r="A819" s="4" t="inlineStr">
        <is>
          <t>212</t>
        </is>
      </c>
      <c r="B819" s="4" t="n">
        <v>2</v>
      </c>
      <c r="C819" s="4" t="inlineStr">
        <is>
          <t>whitetail</t>
        </is>
      </c>
      <c r="D819" s="4" t="n">
        <v>2024</v>
      </c>
      <c r="E819" s="5" t="n"/>
      <c r="F819" s="5" t="n"/>
      <c r="G819" s="5" t="n">
        <v>50</v>
      </c>
      <c r="H819" s="10">
        <f>IF(E819&gt;0,G819/E819,"")</f>
        <v/>
      </c>
      <c r="I819" s="11">
        <f>IF(AND(F819&gt;0,G819&gt;0),F819/G819,"")</f>
        <v/>
      </c>
    </row>
    <row r="820">
      <c r="A820" s="4" t="inlineStr">
        <is>
          <t>212</t>
        </is>
      </c>
      <c r="B820" s="4" t="n">
        <v>2</v>
      </c>
      <c r="C820" s="4" t="inlineStr">
        <is>
          <t>whitetail</t>
        </is>
      </c>
      <c r="D820" s="4" t="n">
        <v>2025</v>
      </c>
      <c r="E820" s="5" t="n">
        <v>481</v>
      </c>
      <c r="F820" s="5" t="n">
        <v>3559</v>
      </c>
      <c r="G820" s="5" t="n">
        <v>47</v>
      </c>
      <c r="H820" s="10">
        <f>IF(E820&gt;0,G820/E820,"")</f>
        <v/>
      </c>
      <c r="I820" s="11">
        <f>IF(AND(F820&gt;0,G820&gt;0),F820/G820,"")</f>
        <v/>
      </c>
    </row>
    <row r="821">
      <c r="A821" s="4" t="inlineStr">
        <is>
          <t>213</t>
        </is>
      </c>
      <c r="B821" s="4" t="n">
        <v>2</v>
      </c>
      <c r="C821" s="4" t="inlineStr">
        <is>
          <t>whitetail</t>
        </is>
      </c>
      <c r="D821" s="4" t="n">
        <v>2021</v>
      </c>
      <c r="E821" s="5" t="n">
        <v>872</v>
      </c>
      <c r="F821" s="5" t="n">
        <v>7684</v>
      </c>
      <c r="G821" s="5" t="n">
        <v>197</v>
      </c>
      <c r="H821" s="10">
        <f>IF(E821&gt;0,G821/E821,"")</f>
        <v/>
      </c>
      <c r="I821" s="11">
        <f>IF(AND(F821&gt;0,G821&gt;0),F821/G821,"")</f>
        <v/>
      </c>
    </row>
    <row r="822">
      <c r="A822" s="4" t="inlineStr">
        <is>
          <t>213</t>
        </is>
      </c>
      <c r="B822" s="4" t="n">
        <v>2</v>
      </c>
      <c r="C822" s="4" t="inlineStr">
        <is>
          <t>whitetail</t>
        </is>
      </c>
      <c r="D822" s="4" t="n">
        <v>2022</v>
      </c>
      <c r="E822" s="5" t="n"/>
      <c r="F822" s="5" t="n"/>
      <c r="G822" s="5" t="n">
        <v>176</v>
      </c>
      <c r="H822" s="10">
        <f>IF(E822&gt;0,G822/E822,"")</f>
        <v/>
      </c>
      <c r="I822" s="11">
        <f>IF(AND(F822&gt;0,G822&gt;0),F822/G822,"")</f>
        <v/>
      </c>
    </row>
    <row r="823">
      <c r="A823" s="4" t="inlineStr">
        <is>
          <t>213</t>
        </is>
      </c>
      <c r="B823" s="4" t="n">
        <v>2</v>
      </c>
      <c r="C823" s="4" t="inlineStr">
        <is>
          <t>whitetail</t>
        </is>
      </c>
      <c r="D823" s="4" t="n">
        <v>2023</v>
      </c>
      <c r="E823" s="5" t="n">
        <v>1105</v>
      </c>
      <c r="F823" s="5" t="n">
        <v>9534</v>
      </c>
      <c r="G823" s="5" t="n">
        <v>188</v>
      </c>
      <c r="H823" s="10">
        <f>IF(E823&gt;0,G823/E823,"")</f>
        <v/>
      </c>
      <c r="I823" s="11">
        <f>IF(AND(F823&gt;0,G823&gt;0),F823/G823,"")</f>
        <v/>
      </c>
    </row>
    <row r="824">
      <c r="A824" s="4" t="inlineStr">
        <is>
          <t>213</t>
        </is>
      </c>
      <c r="B824" s="4" t="n">
        <v>2</v>
      </c>
      <c r="C824" s="4" t="inlineStr">
        <is>
          <t>whitetail</t>
        </is>
      </c>
      <c r="D824" s="4" t="n">
        <v>2024</v>
      </c>
      <c r="E824" s="5" t="n"/>
      <c r="F824" s="5" t="n"/>
      <c r="G824" s="5" t="n">
        <v>156</v>
      </c>
      <c r="H824" s="10">
        <f>IF(E824&gt;0,G824/E824,"")</f>
        <v/>
      </c>
      <c r="I824" s="11">
        <f>IF(AND(F824&gt;0,G824&gt;0),F824/G824,"")</f>
        <v/>
      </c>
    </row>
    <row r="825">
      <c r="A825" s="4" t="inlineStr">
        <is>
          <t>213</t>
        </is>
      </c>
      <c r="B825" s="4" t="n">
        <v>2</v>
      </c>
      <c r="C825" s="4" t="inlineStr">
        <is>
          <t>whitetail</t>
        </is>
      </c>
      <c r="D825" s="4" t="n">
        <v>2025</v>
      </c>
      <c r="E825" s="5" t="n">
        <v>1178</v>
      </c>
      <c r="F825" s="5" t="n">
        <v>9366</v>
      </c>
      <c r="G825" s="5" t="n">
        <v>138</v>
      </c>
      <c r="H825" s="10">
        <f>IF(E825&gt;0,G825/E825,"")</f>
        <v/>
      </c>
      <c r="I825" s="11">
        <f>IF(AND(F825&gt;0,G825&gt;0),F825/G825,"")</f>
        <v/>
      </c>
    </row>
    <row r="826">
      <c r="A826" s="4" t="inlineStr">
        <is>
          <t>214</t>
        </is>
      </c>
      <c r="B826" s="4" t="n">
        <v>2</v>
      </c>
      <c r="C826" s="4" t="inlineStr">
        <is>
          <t>whitetail</t>
        </is>
      </c>
      <c r="D826" s="4" t="n">
        <v>2021</v>
      </c>
      <c r="E826" s="5" t="n">
        <v>149</v>
      </c>
      <c r="F826" s="5" t="n">
        <v>1200</v>
      </c>
      <c r="G826" s="5" t="n">
        <v>16</v>
      </c>
      <c r="H826" s="10">
        <f>IF(E826&gt;0,G826/E826,"")</f>
        <v/>
      </c>
      <c r="I826" s="11">
        <f>IF(AND(F826&gt;0,G826&gt;0),F826/G826,"")</f>
        <v/>
      </c>
    </row>
    <row r="827">
      <c r="A827" s="4" t="inlineStr">
        <is>
          <t>214</t>
        </is>
      </c>
      <c r="B827" s="4" t="n">
        <v>2</v>
      </c>
      <c r="C827" s="4" t="inlineStr">
        <is>
          <t>whitetail</t>
        </is>
      </c>
      <c r="D827" s="4" t="n">
        <v>2022</v>
      </c>
      <c r="E827" s="5" t="n"/>
      <c r="F827" s="5" t="n"/>
      <c r="G827" s="5" t="n">
        <v>53</v>
      </c>
      <c r="H827" s="10">
        <f>IF(E827&gt;0,G827/E827,"")</f>
        <v/>
      </c>
      <c r="I827" s="11">
        <f>IF(AND(F827&gt;0,G827&gt;0),F827/G827,"")</f>
        <v/>
      </c>
    </row>
    <row r="828">
      <c r="A828" s="4" t="inlineStr">
        <is>
          <t>214</t>
        </is>
      </c>
      <c r="B828" s="4" t="n">
        <v>2</v>
      </c>
      <c r="C828" s="4" t="inlineStr">
        <is>
          <t>whitetail</t>
        </is>
      </c>
      <c r="D828" s="4" t="n">
        <v>2023</v>
      </c>
      <c r="E828" s="5" t="n">
        <v>334</v>
      </c>
      <c r="F828" s="5" t="n">
        <v>2362</v>
      </c>
      <c r="G828" s="5" t="n">
        <v>37</v>
      </c>
      <c r="H828" s="10">
        <f>IF(E828&gt;0,G828/E828,"")</f>
        <v/>
      </c>
      <c r="I828" s="11">
        <f>IF(AND(F828&gt;0,G828&gt;0),F828/G828,"")</f>
        <v/>
      </c>
    </row>
    <row r="829">
      <c r="A829" s="4" t="inlineStr">
        <is>
          <t>214</t>
        </is>
      </c>
      <c r="B829" s="4" t="n">
        <v>2</v>
      </c>
      <c r="C829" s="4" t="inlineStr">
        <is>
          <t>whitetail</t>
        </is>
      </c>
      <c r="D829" s="4" t="n">
        <v>2024</v>
      </c>
      <c r="E829" s="5" t="n"/>
      <c r="F829" s="5" t="n"/>
      <c r="G829" s="5" t="n">
        <v>52</v>
      </c>
      <c r="H829" s="10">
        <f>IF(E829&gt;0,G829/E829,"")</f>
        <v/>
      </c>
      <c r="I829" s="11">
        <f>IF(AND(F829&gt;0,G829&gt;0),F829/G829,"")</f>
        <v/>
      </c>
    </row>
    <row r="830">
      <c r="A830" s="4" t="inlineStr">
        <is>
          <t>214</t>
        </is>
      </c>
      <c r="B830" s="4" t="n">
        <v>2</v>
      </c>
      <c r="C830" s="4" t="inlineStr">
        <is>
          <t>whitetail</t>
        </is>
      </c>
      <c r="D830" s="4" t="n">
        <v>2025</v>
      </c>
      <c r="E830" s="5" t="n">
        <v>360</v>
      </c>
      <c r="F830" s="5" t="n">
        <v>2384</v>
      </c>
      <c r="G830" s="5" t="n">
        <v>59</v>
      </c>
      <c r="H830" s="10">
        <f>IF(E830&gt;0,G830/E830,"")</f>
        <v/>
      </c>
      <c r="I830" s="11">
        <f>IF(AND(F830&gt;0,G830&gt;0),F830/G830,"")</f>
        <v/>
      </c>
    </row>
    <row r="831">
      <c r="A831" s="4" t="inlineStr">
        <is>
          <t>215</t>
        </is>
      </c>
      <c r="B831" s="4" t="n">
        <v>2</v>
      </c>
      <c r="C831" s="4" t="inlineStr">
        <is>
          <t>whitetail</t>
        </is>
      </c>
      <c r="D831" s="4" t="n">
        <v>2021</v>
      </c>
      <c r="E831" s="5" t="n">
        <v>1080</v>
      </c>
      <c r="F831" s="5" t="n">
        <v>8083</v>
      </c>
      <c r="G831" s="5" t="n">
        <v>179</v>
      </c>
      <c r="H831" s="10">
        <f>IF(E831&gt;0,G831/E831,"")</f>
        <v/>
      </c>
      <c r="I831" s="11">
        <f>IF(AND(F831&gt;0,G831&gt;0),F831/G831,"")</f>
        <v/>
      </c>
    </row>
    <row r="832">
      <c r="A832" s="4" t="inlineStr">
        <is>
          <t>215</t>
        </is>
      </c>
      <c r="B832" s="4" t="n">
        <v>2</v>
      </c>
      <c r="C832" s="4" t="inlineStr">
        <is>
          <t>whitetail</t>
        </is>
      </c>
      <c r="D832" s="4" t="n">
        <v>2022</v>
      </c>
      <c r="E832" s="5" t="n"/>
      <c r="F832" s="5" t="n"/>
      <c r="G832" s="5" t="n">
        <v>127</v>
      </c>
      <c r="H832" s="10">
        <f>IF(E832&gt;0,G832/E832,"")</f>
        <v/>
      </c>
      <c r="I832" s="11">
        <f>IF(AND(F832&gt;0,G832&gt;0),F832/G832,"")</f>
        <v/>
      </c>
    </row>
    <row r="833">
      <c r="A833" s="4" t="inlineStr">
        <is>
          <t>215</t>
        </is>
      </c>
      <c r="B833" s="4" t="n">
        <v>2</v>
      </c>
      <c r="C833" s="4" t="inlineStr">
        <is>
          <t>whitetail</t>
        </is>
      </c>
      <c r="D833" s="4" t="n">
        <v>2023</v>
      </c>
      <c r="E833" s="5" t="n">
        <v>1324</v>
      </c>
      <c r="F833" s="5" t="n">
        <v>10409</v>
      </c>
      <c r="G833" s="5" t="n">
        <v>150</v>
      </c>
      <c r="H833" s="10">
        <f>IF(E833&gt;0,G833/E833,"")</f>
        <v/>
      </c>
      <c r="I833" s="11">
        <f>IF(AND(F833&gt;0,G833&gt;0),F833/G833,"")</f>
        <v/>
      </c>
    </row>
    <row r="834">
      <c r="A834" s="4" t="inlineStr">
        <is>
          <t>215</t>
        </is>
      </c>
      <c r="B834" s="4" t="n">
        <v>2</v>
      </c>
      <c r="C834" s="4" t="inlineStr">
        <is>
          <t>whitetail</t>
        </is>
      </c>
      <c r="D834" s="4" t="n">
        <v>2024</v>
      </c>
      <c r="E834" s="5" t="n"/>
      <c r="F834" s="5" t="n"/>
      <c r="G834" s="5" t="n">
        <v>146</v>
      </c>
      <c r="H834" s="10">
        <f>IF(E834&gt;0,G834/E834,"")</f>
        <v/>
      </c>
      <c r="I834" s="11">
        <f>IF(AND(F834&gt;0,G834&gt;0),F834/G834,"")</f>
        <v/>
      </c>
    </row>
    <row r="835">
      <c r="A835" s="4" t="inlineStr">
        <is>
          <t>215</t>
        </is>
      </c>
      <c r="B835" s="4" t="n">
        <v>2</v>
      </c>
      <c r="C835" s="4" t="inlineStr">
        <is>
          <t>whitetail</t>
        </is>
      </c>
      <c r="D835" s="4" t="n">
        <v>2025</v>
      </c>
      <c r="E835" s="5" t="n">
        <v>1406</v>
      </c>
      <c r="F835" s="5" t="n">
        <v>10882</v>
      </c>
      <c r="G835" s="5" t="n">
        <v>126</v>
      </c>
      <c r="H835" s="10">
        <f>IF(E835&gt;0,G835/E835,"")</f>
        <v/>
      </c>
      <c r="I835" s="11">
        <f>IF(AND(F835&gt;0,G835&gt;0),F835/G835,"")</f>
        <v/>
      </c>
    </row>
    <row r="836">
      <c r="A836" s="4" t="inlineStr">
        <is>
          <t>216</t>
        </is>
      </c>
      <c r="B836" s="4" t="n">
        <v>2</v>
      </c>
      <c r="C836" s="4" t="inlineStr">
        <is>
          <t>whitetail</t>
        </is>
      </c>
      <c r="D836" s="4" t="n">
        <v>2021</v>
      </c>
      <c r="E836" s="5" t="n">
        <v>415</v>
      </c>
      <c r="F836" s="5" t="n">
        <v>2786</v>
      </c>
      <c r="G836" s="5" t="n">
        <v>68</v>
      </c>
      <c r="H836" s="10">
        <f>IF(E836&gt;0,G836/E836,"")</f>
        <v/>
      </c>
      <c r="I836" s="11">
        <f>IF(AND(F836&gt;0,G836&gt;0),F836/G836,"")</f>
        <v/>
      </c>
    </row>
    <row r="837">
      <c r="A837" s="4" t="inlineStr">
        <is>
          <t>216</t>
        </is>
      </c>
      <c r="B837" s="4" t="n">
        <v>2</v>
      </c>
      <c r="C837" s="4" t="inlineStr">
        <is>
          <t>whitetail</t>
        </is>
      </c>
      <c r="D837" s="4" t="n">
        <v>2022</v>
      </c>
      <c r="E837" s="5" t="n"/>
      <c r="F837" s="5" t="n"/>
      <c r="G837" s="5" t="n">
        <v>98</v>
      </c>
      <c r="H837" s="10">
        <f>IF(E837&gt;0,G837/E837,"")</f>
        <v/>
      </c>
      <c r="I837" s="11">
        <f>IF(AND(F837&gt;0,G837&gt;0),F837/G837,"")</f>
        <v/>
      </c>
    </row>
    <row r="838">
      <c r="A838" s="4" t="inlineStr">
        <is>
          <t>216</t>
        </is>
      </c>
      <c r="B838" s="4" t="n">
        <v>2</v>
      </c>
      <c r="C838" s="4" t="inlineStr">
        <is>
          <t>whitetail</t>
        </is>
      </c>
      <c r="D838" s="4" t="n">
        <v>2023</v>
      </c>
      <c r="E838" s="5" t="n">
        <v>476</v>
      </c>
      <c r="F838" s="5" t="n">
        <v>2669</v>
      </c>
      <c r="G838" s="5" t="n">
        <v>123</v>
      </c>
      <c r="H838" s="10">
        <f>IF(E838&gt;0,G838/E838,"")</f>
        <v/>
      </c>
      <c r="I838" s="11">
        <f>IF(AND(F838&gt;0,G838&gt;0),F838/G838,"")</f>
        <v/>
      </c>
    </row>
    <row r="839">
      <c r="A839" s="4" t="inlineStr">
        <is>
          <t>216</t>
        </is>
      </c>
      <c r="B839" s="4" t="n">
        <v>2</v>
      </c>
      <c r="C839" s="4" t="inlineStr">
        <is>
          <t>whitetail</t>
        </is>
      </c>
      <c r="D839" s="4" t="n">
        <v>2024</v>
      </c>
      <c r="E839" s="5" t="n"/>
      <c r="F839" s="5" t="n"/>
      <c r="G839" s="5" t="n">
        <v>105</v>
      </c>
      <c r="H839" s="10">
        <f>IF(E839&gt;0,G839/E839,"")</f>
        <v/>
      </c>
      <c r="I839" s="11">
        <f>IF(AND(F839&gt;0,G839&gt;0),F839/G839,"")</f>
        <v/>
      </c>
    </row>
    <row r="840">
      <c r="A840" s="4" t="inlineStr">
        <is>
          <t>216</t>
        </is>
      </c>
      <c r="B840" s="4" t="n">
        <v>2</v>
      </c>
      <c r="C840" s="4" t="inlineStr">
        <is>
          <t>whitetail</t>
        </is>
      </c>
      <c r="D840" s="4" t="n">
        <v>2025</v>
      </c>
      <c r="E840" s="5" t="n">
        <v>500</v>
      </c>
      <c r="F840" s="5" t="n">
        <v>3705</v>
      </c>
      <c r="G840" s="5" t="n">
        <v>52</v>
      </c>
      <c r="H840" s="10">
        <f>IF(E840&gt;0,G840/E840,"")</f>
        <v/>
      </c>
      <c r="I840" s="11">
        <f>IF(AND(F840&gt;0,G840&gt;0),F840/G840,"")</f>
        <v/>
      </c>
    </row>
    <row r="841">
      <c r="A841" s="4" t="inlineStr">
        <is>
          <t>217</t>
        </is>
      </c>
      <c r="B841" s="4" t="n">
        <v>2</v>
      </c>
      <c r="C841" s="4" t="inlineStr">
        <is>
          <t>whitetail</t>
        </is>
      </c>
      <c r="D841" s="4" t="n">
        <v>2021</v>
      </c>
      <c r="E841" s="5" t="n">
        <v>401</v>
      </c>
      <c r="F841" s="5" t="n">
        <v>2834</v>
      </c>
      <c r="G841" s="5" t="n">
        <v>88</v>
      </c>
      <c r="H841" s="10">
        <f>IF(E841&gt;0,G841/E841,"")</f>
        <v/>
      </c>
      <c r="I841" s="11">
        <f>IF(AND(F841&gt;0,G841&gt;0),F841/G841,"")</f>
        <v/>
      </c>
    </row>
    <row r="842">
      <c r="A842" s="4" t="inlineStr">
        <is>
          <t>217</t>
        </is>
      </c>
      <c r="B842" s="4" t="n">
        <v>2</v>
      </c>
      <c r="C842" s="4" t="inlineStr">
        <is>
          <t>whitetail</t>
        </is>
      </c>
      <c r="D842" s="4" t="n">
        <v>2022</v>
      </c>
      <c r="E842" s="5" t="n"/>
      <c r="F842" s="5" t="n"/>
      <c r="G842" s="5" t="n">
        <v>114</v>
      </c>
      <c r="H842" s="10">
        <f>IF(E842&gt;0,G842/E842,"")</f>
        <v/>
      </c>
      <c r="I842" s="11">
        <f>IF(AND(F842&gt;0,G842&gt;0),F842/G842,"")</f>
        <v/>
      </c>
    </row>
    <row r="843">
      <c r="A843" s="4" t="inlineStr">
        <is>
          <t>217</t>
        </is>
      </c>
      <c r="B843" s="4" t="n">
        <v>2</v>
      </c>
      <c r="C843" s="4" t="inlineStr">
        <is>
          <t>whitetail</t>
        </is>
      </c>
      <c r="D843" s="4" t="n">
        <v>2023</v>
      </c>
      <c r="E843" s="5" t="n">
        <v>508</v>
      </c>
      <c r="F843" s="5" t="n">
        <v>3229</v>
      </c>
      <c r="G843" s="5" t="n">
        <v>105</v>
      </c>
      <c r="H843" s="10">
        <f>IF(E843&gt;0,G843/E843,"")</f>
        <v/>
      </c>
      <c r="I843" s="11">
        <f>IF(AND(F843&gt;0,G843&gt;0),F843/G843,"")</f>
        <v/>
      </c>
    </row>
    <row r="844">
      <c r="A844" s="4" t="inlineStr">
        <is>
          <t>217</t>
        </is>
      </c>
      <c r="B844" s="4" t="n">
        <v>2</v>
      </c>
      <c r="C844" s="4" t="inlineStr">
        <is>
          <t>whitetail</t>
        </is>
      </c>
      <c r="D844" s="4" t="n">
        <v>2024</v>
      </c>
      <c r="E844" s="5" t="n"/>
      <c r="F844" s="5" t="n"/>
      <c r="G844" s="5" t="n">
        <v>97</v>
      </c>
      <c r="H844" s="10">
        <f>IF(E844&gt;0,G844/E844,"")</f>
        <v/>
      </c>
      <c r="I844" s="11">
        <f>IF(AND(F844&gt;0,G844&gt;0),F844/G844,"")</f>
        <v/>
      </c>
    </row>
    <row r="845">
      <c r="A845" s="4" t="inlineStr">
        <is>
          <t>217</t>
        </is>
      </c>
      <c r="B845" s="4" t="n">
        <v>2</v>
      </c>
      <c r="C845" s="4" t="inlineStr">
        <is>
          <t>whitetail</t>
        </is>
      </c>
      <c r="D845" s="4" t="n">
        <v>2025</v>
      </c>
      <c r="E845" s="5" t="n">
        <v>486</v>
      </c>
      <c r="F845" s="5" t="n">
        <v>3268</v>
      </c>
      <c r="G845" s="5" t="n">
        <v>98</v>
      </c>
      <c r="H845" s="10">
        <f>IF(E845&gt;0,G845/E845,"")</f>
        <v/>
      </c>
      <c r="I845" s="11">
        <f>IF(AND(F845&gt;0,G845&gt;0),F845/G845,"")</f>
        <v/>
      </c>
    </row>
    <row r="846">
      <c r="A846" s="4" t="inlineStr">
        <is>
          <t>240</t>
        </is>
      </c>
      <c r="B846" s="4" t="n">
        <v>2</v>
      </c>
      <c r="C846" s="4" t="inlineStr">
        <is>
          <t>whitetail</t>
        </is>
      </c>
      <c r="D846" s="4" t="n">
        <v>2021</v>
      </c>
      <c r="E846" s="5" t="n">
        <v>1993</v>
      </c>
      <c r="F846" s="5" t="n">
        <v>12889</v>
      </c>
      <c r="G846" s="5" t="n">
        <v>763</v>
      </c>
      <c r="H846" s="10">
        <f>IF(E846&gt;0,G846/E846,"")</f>
        <v/>
      </c>
      <c r="I846" s="11">
        <f>IF(AND(F846&gt;0,G846&gt;0),F846/G846,"")</f>
        <v/>
      </c>
    </row>
    <row r="847">
      <c r="A847" s="4" t="inlineStr">
        <is>
          <t>240</t>
        </is>
      </c>
      <c r="B847" s="4" t="n">
        <v>2</v>
      </c>
      <c r="C847" s="4" t="inlineStr">
        <is>
          <t>whitetail</t>
        </is>
      </c>
      <c r="D847" s="4" t="n">
        <v>2022</v>
      </c>
      <c r="E847" s="5" t="n"/>
      <c r="F847" s="5" t="n"/>
      <c r="G847" s="5" t="n">
        <v>763</v>
      </c>
      <c r="H847" s="10">
        <f>IF(E847&gt;0,G847/E847,"")</f>
        <v/>
      </c>
      <c r="I847" s="11">
        <f>IF(AND(F847&gt;0,G847&gt;0),F847/G847,"")</f>
        <v/>
      </c>
    </row>
    <row r="848">
      <c r="A848" s="4" t="inlineStr">
        <is>
          <t>240</t>
        </is>
      </c>
      <c r="B848" s="4" t="n">
        <v>2</v>
      </c>
      <c r="C848" s="4" t="inlineStr">
        <is>
          <t>whitetail</t>
        </is>
      </c>
      <c r="D848" s="4" t="n">
        <v>2023</v>
      </c>
      <c r="E848" s="5" t="n">
        <v>2226</v>
      </c>
      <c r="F848" s="5" t="n">
        <v>15797</v>
      </c>
      <c r="G848" s="5" t="n">
        <v>871</v>
      </c>
      <c r="H848" s="10">
        <f>IF(E848&gt;0,G848/E848,"")</f>
        <v/>
      </c>
      <c r="I848" s="11">
        <f>IF(AND(F848&gt;0,G848&gt;0),F848/G848,"")</f>
        <v/>
      </c>
    </row>
    <row r="849">
      <c r="A849" s="4" t="inlineStr">
        <is>
          <t>240</t>
        </is>
      </c>
      <c r="B849" s="4" t="n">
        <v>2</v>
      </c>
      <c r="C849" s="4" t="inlineStr">
        <is>
          <t>whitetail</t>
        </is>
      </c>
      <c r="D849" s="4" t="n">
        <v>2024</v>
      </c>
      <c r="E849" s="5" t="n"/>
      <c r="F849" s="5" t="n"/>
      <c r="G849" s="5" t="n">
        <v>776</v>
      </c>
      <c r="H849" s="10">
        <f>IF(E849&gt;0,G849/E849,"")</f>
        <v/>
      </c>
      <c r="I849" s="11">
        <f>IF(AND(F849&gt;0,G849&gt;0),F849/G849,"")</f>
        <v/>
      </c>
    </row>
    <row r="850">
      <c r="A850" s="4" t="inlineStr">
        <is>
          <t>240</t>
        </is>
      </c>
      <c r="B850" s="4" t="n">
        <v>2</v>
      </c>
      <c r="C850" s="4" t="inlineStr">
        <is>
          <t>whitetail</t>
        </is>
      </c>
      <c r="D850" s="4" t="n">
        <v>2025</v>
      </c>
      <c r="E850" s="5" t="n">
        <v>2009</v>
      </c>
      <c r="F850" s="5" t="n">
        <v>13438</v>
      </c>
      <c r="G850" s="5" t="n">
        <v>640</v>
      </c>
      <c r="H850" s="10">
        <f>IF(E850&gt;0,G850/E850,"")</f>
        <v/>
      </c>
      <c r="I850" s="11">
        <f>IF(AND(F850&gt;0,G850&gt;0),F850/G850,"")</f>
        <v/>
      </c>
    </row>
    <row r="851">
      <c r="A851" s="4" t="inlineStr">
        <is>
          <t>250</t>
        </is>
      </c>
      <c r="B851" s="4" t="n">
        <v>2</v>
      </c>
      <c r="C851" s="4" t="inlineStr">
        <is>
          <t>whitetail</t>
        </is>
      </c>
      <c r="D851" s="4" t="n">
        <v>2021</v>
      </c>
      <c r="E851" s="5" t="n">
        <v>328</v>
      </c>
      <c r="F851" s="5" t="n">
        <v>2089</v>
      </c>
      <c r="G851" s="5" t="n">
        <v>123</v>
      </c>
      <c r="H851" s="10">
        <f>IF(E851&gt;0,G851/E851,"")</f>
        <v/>
      </c>
      <c r="I851" s="11">
        <f>IF(AND(F851&gt;0,G851&gt;0),F851/G851,"")</f>
        <v/>
      </c>
    </row>
    <row r="852">
      <c r="A852" s="4" t="inlineStr">
        <is>
          <t>250</t>
        </is>
      </c>
      <c r="B852" s="4" t="n">
        <v>2</v>
      </c>
      <c r="C852" s="4" t="inlineStr">
        <is>
          <t>whitetail</t>
        </is>
      </c>
      <c r="D852" s="4" t="n">
        <v>2022</v>
      </c>
      <c r="E852" s="5" t="n"/>
      <c r="F852" s="5" t="n"/>
      <c r="G852" s="5" t="n">
        <v>158</v>
      </c>
      <c r="H852" s="10">
        <f>IF(E852&gt;0,G852/E852,"")</f>
        <v/>
      </c>
      <c r="I852" s="11">
        <f>IF(AND(F852&gt;0,G852&gt;0),F852/G852,"")</f>
        <v/>
      </c>
    </row>
    <row r="853">
      <c r="A853" s="4" t="inlineStr">
        <is>
          <t>250</t>
        </is>
      </c>
      <c r="B853" s="4" t="n">
        <v>2</v>
      </c>
      <c r="C853" s="4" t="inlineStr">
        <is>
          <t>whitetail</t>
        </is>
      </c>
      <c r="D853" s="4" t="n">
        <v>2023</v>
      </c>
      <c r="E853" s="5" t="n">
        <v>421</v>
      </c>
      <c r="F853" s="5" t="n">
        <v>2640</v>
      </c>
      <c r="G853" s="5" t="n">
        <v>165</v>
      </c>
      <c r="H853" s="10">
        <f>IF(E853&gt;0,G853/E853,"")</f>
        <v/>
      </c>
      <c r="I853" s="11">
        <f>IF(AND(F853&gt;0,G853&gt;0),F853/G853,"")</f>
        <v/>
      </c>
    </row>
    <row r="854">
      <c r="A854" s="4" t="inlineStr">
        <is>
          <t>250</t>
        </is>
      </c>
      <c r="B854" s="4" t="n">
        <v>2</v>
      </c>
      <c r="C854" s="4" t="inlineStr">
        <is>
          <t>whitetail</t>
        </is>
      </c>
      <c r="D854" s="4" t="n">
        <v>2024</v>
      </c>
      <c r="E854" s="5" t="n"/>
      <c r="F854" s="5" t="n"/>
      <c r="G854" s="5" t="n">
        <v>155</v>
      </c>
      <c r="H854" s="10">
        <f>IF(E854&gt;0,G854/E854,"")</f>
        <v/>
      </c>
      <c r="I854" s="11">
        <f>IF(AND(F854&gt;0,G854&gt;0),F854/G854,"")</f>
        <v/>
      </c>
    </row>
    <row r="855">
      <c r="A855" s="4" t="inlineStr">
        <is>
          <t>250</t>
        </is>
      </c>
      <c r="B855" s="4" t="n">
        <v>2</v>
      </c>
      <c r="C855" s="4" t="inlineStr">
        <is>
          <t>whitetail</t>
        </is>
      </c>
      <c r="D855" s="4" t="n">
        <v>2025</v>
      </c>
      <c r="E855" s="5" t="n">
        <v>449</v>
      </c>
      <c r="F855" s="5" t="n">
        <v>3207</v>
      </c>
      <c r="G855" s="5" t="n">
        <v>157</v>
      </c>
      <c r="H855" s="10">
        <f>IF(E855&gt;0,G855/E855,"")</f>
        <v/>
      </c>
      <c r="I855" s="11">
        <f>IF(AND(F855&gt;0,G855&gt;0),F855/G855,"")</f>
        <v/>
      </c>
    </row>
    <row r="856">
      <c r="A856" s="4" t="inlineStr">
        <is>
          <t>260</t>
        </is>
      </c>
      <c r="B856" s="4" t="n">
        <v>2</v>
      </c>
      <c r="C856" s="4" t="inlineStr">
        <is>
          <t>whitetail</t>
        </is>
      </c>
      <c r="D856" s="4" t="n">
        <v>2021</v>
      </c>
      <c r="E856" s="5" t="n">
        <v>1014</v>
      </c>
      <c r="F856" s="5" t="n">
        <v>8062</v>
      </c>
      <c r="G856" s="5" t="n">
        <v>511</v>
      </c>
      <c r="H856" s="10">
        <f>IF(E856&gt;0,G856/E856,"")</f>
        <v/>
      </c>
      <c r="I856" s="11">
        <f>IF(AND(F856&gt;0,G856&gt;0),F856/G856,"")</f>
        <v/>
      </c>
    </row>
    <row r="857">
      <c r="A857" s="4" t="inlineStr">
        <is>
          <t>260</t>
        </is>
      </c>
      <c r="B857" s="4" t="n">
        <v>2</v>
      </c>
      <c r="C857" s="4" t="inlineStr">
        <is>
          <t>whitetail</t>
        </is>
      </c>
      <c r="D857" s="4" t="n">
        <v>2022</v>
      </c>
      <c r="E857" s="5" t="n"/>
      <c r="F857" s="5" t="n"/>
      <c r="G857" s="5" t="n">
        <v>751</v>
      </c>
      <c r="H857" s="10">
        <f>IF(E857&gt;0,G857/E857,"")</f>
        <v/>
      </c>
      <c r="I857" s="11">
        <f>IF(AND(F857&gt;0,G857&gt;0),F857/G857,"")</f>
        <v/>
      </c>
    </row>
    <row r="858">
      <c r="A858" s="4" t="inlineStr">
        <is>
          <t>260</t>
        </is>
      </c>
      <c r="B858" s="4" t="n">
        <v>2</v>
      </c>
      <c r="C858" s="4" t="inlineStr">
        <is>
          <t>whitetail</t>
        </is>
      </c>
      <c r="D858" s="4" t="n">
        <v>2023</v>
      </c>
      <c r="E858" s="5" t="n">
        <v>1092</v>
      </c>
      <c r="F858" s="5" t="n">
        <v>10053</v>
      </c>
      <c r="G858" s="5" t="n">
        <v>542</v>
      </c>
      <c r="H858" s="10">
        <f>IF(E858&gt;0,G858/E858,"")</f>
        <v/>
      </c>
      <c r="I858" s="11">
        <f>IF(AND(F858&gt;0,G858&gt;0),F858/G858,"")</f>
        <v/>
      </c>
    </row>
    <row r="859">
      <c r="A859" s="4" t="inlineStr">
        <is>
          <t>260</t>
        </is>
      </c>
      <c r="B859" s="4" t="n">
        <v>2</v>
      </c>
      <c r="C859" s="4" t="inlineStr">
        <is>
          <t>whitetail</t>
        </is>
      </c>
      <c r="D859" s="4" t="n">
        <v>2024</v>
      </c>
      <c r="E859" s="5" t="n"/>
      <c r="F859" s="5" t="n"/>
      <c r="G859" s="5" t="n">
        <v>736</v>
      </c>
      <c r="H859" s="10">
        <f>IF(E859&gt;0,G859/E859,"")</f>
        <v/>
      </c>
      <c r="I859" s="11">
        <f>IF(AND(F859&gt;0,G859&gt;0),F859/G859,"")</f>
        <v/>
      </c>
    </row>
    <row r="860">
      <c r="A860" s="4" t="inlineStr">
        <is>
          <t>260</t>
        </is>
      </c>
      <c r="B860" s="4" t="n">
        <v>2</v>
      </c>
      <c r="C860" s="4" t="inlineStr">
        <is>
          <t>whitetail</t>
        </is>
      </c>
      <c r="D860" s="4" t="n">
        <v>2025</v>
      </c>
      <c r="E860" s="5" t="n">
        <v>1130</v>
      </c>
      <c r="F860" s="5" t="n">
        <v>9167</v>
      </c>
      <c r="G860" s="5" t="n">
        <v>633</v>
      </c>
      <c r="H860" s="10">
        <f>IF(E860&gt;0,G860/E860,"")</f>
        <v/>
      </c>
      <c r="I860" s="11">
        <f>IF(AND(F860&gt;0,G860&gt;0),F860/G860,"")</f>
        <v/>
      </c>
    </row>
    <row r="861">
      <c r="A861" s="4" t="inlineStr">
        <is>
          <t>261</t>
        </is>
      </c>
      <c r="B861" s="4" t="n">
        <v>2</v>
      </c>
      <c r="C861" s="4" t="inlineStr">
        <is>
          <t>whitetail</t>
        </is>
      </c>
      <c r="D861" s="4" t="n">
        <v>2021</v>
      </c>
      <c r="E861" s="5" t="n">
        <v>379</v>
      </c>
      <c r="F861" s="5" t="n">
        <v>2616</v>
      </c>
      <c r="G861" s="5" t="n">
        <v>117</v>
      </c>
      <c r="H861" s="10">
        <f>IF(E861&gt;0,G861/E861,"")</f>
        <v/>
      </c>
      <c r="I861" s="11">
        <f>IF(AND(F861&gt;0,G861&gt;0),F861/G861,"")</f>
        <v/>
      </c>
    </row>
    <row r="862">
      <c r="A862" s="4" t="inlineStr">
        <is>
          <t>261</t>
        </is>
      </c>
      <c r="B862" s="4" t="n">
        <v>2</v>
      </c>
      <c r="C862" s="4" t="inlineStr">
        <is>
          <t>whitetail</t>
        </is>
      </c>
      <c r="D862" s="4" t="n">
        <v>2022</v>
      </c>
      <c r="E862" s="5" t="n"/>
      <c r="F862" s="5" t="n"/>
      <c r="G862" s="5" t="n">
        <v>160</v>
      </c>
      <c r="H862" s="10">
        <f>IF(E862&gt;0,G862/E862,"")</f>
        <v/>
      </c>
      <c r="I862" s="11">
        <f>IF(AND(F862&gt;0,G862&gt;0),F862/G862,"")</f>
        <v/>
      </c>
    </row>
    <row r="863">
      <c r="A863" s="4" t="inlineStr">
        <is>
          <t>261</t>
        </is>
      </c>
      <c r="B863" s="4" t="n">
        <v>2</v>
      </c>
      <c r="C863" s="4" t="inlineStr">
        <is>
          <t>whitetail</t>
        </is>
      </c>
      <c r="D863" s="4" t="n">
        <v>2023</v>
      </c>
      <c r="E863" s="5" t="n">
        <v>500</v>
      </c>
      <c r="F863" s="5" t="n">
        <v>3392</v>
      </c>
      <c r="G863" s="5" t="n">
        <v>177</v>
      </c>
      <c r="H863" s="10">
        <f>IF(E863&gt;0,G863/E863,"")</f>
        <v/>
      </c>
      <c r="I863" s="11">
        <f>IF(AND(F863&gt;0,G863&gt;0),F863/G863,"")</f>
        <v/>
      </c>
    </row>
    <row r="864">
      <c r="A864" s="4" t="inlineStr">
        <is>
          <t>261</t>
        </is>
      </c>
      <c r="B864" s="4" t="n">
        <v>2</v>
      </c>
      <c r="C864" s="4" t="inlineStr">
        <is>
          <t>whitetail</t>
        </is>
      </c>
      <c r="D864" s="4" t="n">
        <v>2024</v>
      </c>
      <c r="E864" s="5" t="n"/>
      <c r="F864" s="5" t="n"/>
      <c r="G864" s="5" t="n">
        <v>132</v>
      </c>
      <c r="H864" s="10">
        <f>IF(E864&gt;0,G864/E864,"")</f>
        <v/>
      </c>
      <c r="I864" s="11">
        <f>IF(AND(F864&gt;0,G864&gt;0),F864/G864,"")</f>
        <v/>
      </c>
    </row>
    <row r="865">
      <c r="A865" s="4" t="inlineStr">
        <is>
          <t>261</t>
        </is>
      </c>
      <c r="B865" s="4" t="n">
        <v>2</v>
      </c>
      <c r="C865" s="4" t="inlineStr">
        <is>
          <t>whitetail</t>
        </is>
      </c>
      <c r="D865" s="4" t="n">
        <v>2025</v>
      </c>
      <c r="E865" s="5" t="n">
        <v>486</v>
      </c>
      <c r="F865" s="5" t="n">
        <v>2952</v>
      </c>
      <c r="G865" s="5" t="n">
        <v>174</v>
      </c>
      <c r="H865" s="10">
        <f>IF(E865&gt;0,G865/E865,"")</f>
        <v/>
      </c>
      <c r="I865" s="11">
        <f>IF(AND(F865&gt;0,G865&gt;0),F865/G865,"")</f>
        <v/>
      </c>
    </row>
    <row r="866">
      <c r="A866" s="4" t="inlineStr">
        <is>
          <t>262</t>
        </is>
      </c>
      <c r="B866" s="4" t="n">
        <v>2</v>
      </c>
      <c r="C866" s="4" t="inlineStr">
        <is>
          <t>whitetail</t>
        </is>
      </c>
      <c r="D866" s="4" t="n">
        <v>2021</v>
      </c>
      <c r="E866" s="5" t="n">
        <v>706</v>
      </c>
      <c r="F866" s="5" t="n">
        <v>5017</v>
      </c>
      <c r="G866" s="5" t="n">
        <v>303</v>
      </c>
      <c r="H866" s="10">
        <f>IF(E866&gt;0,G866/E866,"")</f>
        <v/>
      </c>
      <c r="I866" s="11">
        <f>IF(AND(F866&gt;0,G866&gt;0),F866/G866,"")</f>
        <v/>
      </c>
    </row>
    <row r="867">
      <c r="A867" s="4" t="inlineStr">
        <is>
          <t>262</t>
        </is>
      </c>
      <c r="B867" s="4" t="n">
        <v>2</v>
      </c>
      <c r="C867" s="4" t="inlineStr">
        <is>
          <t>whitetail</t>
        </is>
      </c>
      <c r="D867" s="4" t="n">
        <v>2022</v>
      </c>
      <c r="E867" s="5" t="n"/>
      <c r="F867" s="5" t="n"/>
      <c r="G867" s="5" t="n">
        <v>427</v>
      </c>
      <c r="H867" s="10">
        <f>IF(E867&gt;0,G867/E867,"")</f>
        <v/>
      </c>
      <c r="I867" s="11">
        <f>IF(AND(F867&gt;0,G867&gt;0),F867/G867,"")</f>
        <v/>
      </c>
    </row>
    <row r="868">
      <c r="A868" s="4" t="inlineStr">
        <is>
          <t>262</t>
        </is>
      </c>
      <c r="B868" s="4" t="n">
        <v>2</v>
      </c>
      <c r="C868" s="4" t="inlineStr">
        <is>
          <t>whitetail</t>
        </is>
      </c>
      <c r="D868" s="4" t="n">
        <v>2023</v>
      </c>
      <c r="E868" s="5" t="n">
        <v>748</v>
      </c>
      <c r="F868" s="5" t="n">
        <v>5534</v>
      </c>
      <c r="G868" s="5" t="n">
        <v>488</v>
      </c>
      <c r="H868" s="10">
        <f>IF(E868&gt;0,G868/E868,"")</f>
        <v/>
      </c>
      <c r="I868" s="11">
        <f>IF(AND(F868&gt;0,G868&gt;0),F868/G868,"")</f>
        <v/>
      </c>
    </row>
    <row r="869">
      <c r="A869" s="4" t="inlineStr">
        <is>
          <t>262</t>
        </is>
      </c>
      <c r="B869" s="4" t="n">
        <v>2</v>
      </c>
      <c r="C869" s="4" t="inlineStr">
        <is>
          <t>whitetail</t>
        </is>
      </c>
      <c r="D869" s="4" t="n">
        <v>2024</v>
      </c>
      <c r="E869" s="5" t="n"/>
      <c r="F869" s="5" t="n"/>
      <c r="G869" s="5" t="n">
        <v>405</v>
      </c>
      <c r="H869" s="10">
        <f>IF(E869&gt;0,G869/E869,"")</f>
        <v/>
      </c>
      <c r="I869" s="11">
        <f>IF(AND(F869&gt;0,G869&gt;0),F869/G869,"")</f>
        <v/>
      </c>
    </row>
    <row r="870">
      <c r="A870" s="4" t="inlineStr">
        <is>
          <t>262</t>
        </is>
      </c>
      <c r="B870" s="4" t="n">
        <v>2</v>
      </c>
      <c r="C870" s="4" t="inlineStr">
        <is>
          <t>whitetail</t>
        </is>
      </c>
      <c r="D870" s="4" t="n">
        <v>2025</v>
      </c>
      <c r="E870" s="5" t="n">
        <v>804</v>
      </c>
      <c r="F870" s="5" t="n">
        <v>5230</v>
      </c>
      <c r="G870" s="5" t="n">
        <v>327</v>
      </c>
      <c r="H870" s="10">
        <f>IF(E870&gt;0,G870/E870,"")</f>
        <v/>
      </c>
      <c r="I870" s="11">
        <f>IF(AND(F870&gt;0,G870&gt;0),F870/G870,"")</f>
        <v/>
      </c>
    </row>
    <row r="871">
      <c r="A871" s="4" t="inlineStr">
        <is>
          <t>270</t>
        </is>
      </c>
      <c r="B871" s="4" t="n">
        <v>2</v>
      </c>
      <c r="C871" s="4" t="inlineStr">
        <is>
          <t>whitetail</t>
        </is>
      </c>
      <c r="D871" s="4" t="n">
        <v>2021</v>
      </c>
      <c r="E871" s="5" t="n">
        <v>1501</v>
      </c>
      <c r="F871" s="5" t="n">
        <v>12220</v>
      </c>
      <c r="G871" s="5" t="n">
        <v>293</v>
      </c>
      <c r="H871" s="10">
        <f>IF(E871&gt;0,G871/E871,"")</f>
        <v/>
      </c>
      <c r="I871" s="11">
        <f>IF(AND(F871&gt;0,G871&gt;0),F871/G871,"")</f>
        <v/>
      </c>
    </row>
    <row r="872">
      <c r="A872" s="4" t="inlineStr">
        <is>
          <t>270</t>
        </is>
      </c>
      <c r="B872" s="4" t="n">
        <v>2</v>
      </c>
      <c r="C872" s="4" t="inlineStr">
        <is>
          <t>whitetail</t>
        </is>
      </c>
      <c r="D872" s="4" t="n">
        <v>2022</v>
      </c>
      <c r="E872" s="5" t="n"/>
      <c r="F872" s="5" t="n"/>
      <c r="G872" s="5" t="n">
        <v>279</v>
      </c>
      <c r="H872" s="10">
        <f>IF(E872&gt;0,G872/E872,"")</f>
        <v/>
      </c>
      <c r="I872" s="11">
        <f>IF(AND(F872&gt;0,G872&gt;0),F872/G872,"")</f>
        <v/>
      </c>
    </row>
    <row r="873">
      <c r="A873" s="4" t="inlineStr">
        <is>
          <t>270</t>
        </is>
      </c>
      <c r="B873" s="4" t="n">
        <v>2</v>
      </c>
      <c r="C873" s="4" t="inlineStr">
        <is>
          <t>whitetail</t>
        </is>
      </c>
      <c r="D873" s="4" t="n">
        <v>2023</v>
      </c>
      <c r="E873" s="5" t="n">
        <v>1887</v>
      </c>
      <c r="F873" s="5" t="n">
        <v>14284</v>
      </c>
      <c r="G873" s="5" t="n">
        <v>410</v>
      </c>
      <c r="H873" s="10">
        <f>IF(E873&gt;0,G873/E873,"")</f>
        <v/>
      </c>
      <c r="I873" s="11">
        <f>IF(AND(F873&gt;0,G873&gt;0),F873/G873,"")</f>
        <v/>
      </c>
    </row>
    <row r="874">
      <c r="A874" s="4" t="inlineStr">
        <is>
          <t>270</t>
        </is>
      </c>
      <c r="B874" s="4" t="n">
        <v>2</v>
      </c>
      <c r="C874" s="4" t="inlineStr">
        <is>
          <t>whitetail</t>
        </is>
      </c>
      <c r="D874" s="4" t="n">
        <v>2024</v>
      </c>
      <c r="E874" s="5" t="n"/>
      <c r="F874" s="5" t="n"/>
      <c r="G874" s="5" t="n">
        <v>414</v>
      </c>
      <c r="H874" s="10">
        <f>IF(E874&gt;0,G874/E874,"")</f>
        <v/>
      </c>
      <c r="I874" s="11">
        <f>IF(AND(F874&gt;0,G874&gt;0),F874/G874,"")</f>
        <v/>
      </c>
    </row>
    <row r="875">
      <c r="A875" s="4" t="inlineStr">
        <is>
          <t>270</t>
        </is>
      </c>
      <c r="B875" s="4" t="n">
        <v>2</v>
      </c>
      <c r="C875" s="4" t="inlineStr">
        <is>
          <t>whitetail</t>
        </is>
      </c>
      <c r="D875" s="4" t="n">
        <v>2025</v>
      </c>
      <c r="E875" s="5" t="n">
        <v>1968</v>
      </c>
      <c r="F875" s="5" t="n">
        <v>16116</v>
      </c>
      <c r="G875" s="5" t="n">
        <v>318</v>
      </c>
      <c r="H875" s="10">
        <f>IF(E875&gt;0,G875/E875,"")</f>
        <v/>
      </c>
      <c r="I875" s="11">
        <f>IF(AND(F875&gt;0,G875&gt;0),F875/G875,"")</f>
        <v/>
      </c>
    </row>
    <row r="876">
      <c r="A876" s="4" t="inlineStr">
        <is>
          <t>280</t>
        </is>
      </c>
      <c r="B876" s="4" t="n">
        <v>2</v>
      </c>
      <c r="C876" s="4" t="inlineStr">
        <is>
          <t>whitetail</t>
        </is>
      </c>
      <c r="D876" s="4" t="n">
        <v>2021</v>
      </c>
      <c r="E876" s="5" t="n">
        <v>99</v>
      </c>
      <c r="F876" s="5" t="n">
        <v>522</v>
      </c>
      <c r="G876" s="5" t="n">
        <v>24</v>
      </c>
      <c r="H876" s="10">
        <f>IF(E876&gt;0,G876/E876,"")</f>
        <v/>
      </c>
      <c r="I876" s="11">
        <f>IF(AND(F876&gt;0,G876&gt;0),F876/G876,"")</f>
        <v/>
      </c>
    </row>
    <row r="877">
      <c r="A877" s="4" t="inlineStr">
        <is>
          <t>280</t>
        </is>
      </c>
      <c r="B877" s="4" t="n">
        <v>2</v>
      </c>
      <c r="C877" s="4" t="inlineStr">
        <is>
          <t>whitetail</t>
        </is>
      </c>
      <c r="D877" s="4" t="n">
        <v>2022</v>
      </c>
      <c r="E877" s="5" t="n"/>
      <c r="F877" s="5" t="n"/>
      <c r="G877" s="5" t="n">
        <v>30</v>
      </c>
      <c r="H877" s="10">
        <f>IF(E877&gt;0,G877/E877,"")</f>
        <v/>
      </c>
      <c r="I877" s="11">
        <f>IF(AND(F877&gt;0,G877&gt;0),F877/G877,"")</f>
        <v/>
      </c>
    </row>
    <row r="878">
      <c r="A878" s="4" t="inlineStr">
        <is>
          <t>280</t>
        </is>
      </c>
      <c r="B878" s="4" t="n">
        <v>2</v>
      </c>
      <c r="C878" s="4" t="inlineStr">
        <is>
          <t>whitetail</t>
        </is>
      </c>
      <c r="D878" s="4" t="n">
        <v>2023</v>
      </c>
      <c r="E878" s="5" t="n">
        <v>149</v>
      </c>
      <c r="F878" s="5" t="n">
        <v>968</v>
      </c>
      <c r="G878" s="5" t="n">
        <v>10</v>
      </c>
      <c r="H878" s="10">
        <f>IF(E878&gt;0,G878/E878,"")</f>
        <v/>
      </c>
      <c r="I878" s="11">
        <f>IF(AND(F878&gt;0,G878&gt;0),F878/G878,"")</f>
        <v/>
      </c>
    </row>
    <row r="879">
      <c r="A879" s="4" t="inlineStr">
        <is>
          <t>280</t>
        </is>
      </c>
      <c r="B879" s="4" t="n">
        <v>2</v>
      </c>
      <c r="C879" s="4" t="inlineStr">
        <is>
          <t>whitetail</t>
        </is>
      </c>
      <c r="D879" s="4" t="n">
        <v>2024</v>
      </c>
      <c r="E879" s="5" t="n"/>
      <c r="F879" s="5" t="n"/>
      <c r="G879" s="5" t="n">
        <v>25</v>
      </c>
      <c r="H879" s="10">
        <f>IF(E879&gt;0,G879/E879,"")</f>
        <v/>
      </c>
      <c r="I879" s="11">
        <f>IF(AND(F879&gt;0,G879&gt;0),F879/G879,"")</f>
        <v/>
      </c>
    </row>
    <row r="880">
      <c r="A880" s="4" t="inlineStr">
        <is>
          <t>280</t>
        </is>
      </c>
      <c r="B880" s="4" t="n">
        <v>2</v>
      </c>
      <c r="C880" s="4" t="inlineStr">
        <is>
          <t>whitetail</t>
        </is>
      </c>
      <c r="D880" s="4" t="n">
        <v>2025</v>
      </c>
      <c r="E880" s="5" t="n">
        <v>191</v>
      </c>
      <c r="F880" s="5" t="n">
        <v>1204</v>
      </c>
      <c r="G880" s="5" t="n">
        <v>41</v>
      </c>
      <c r="H880" s="10">
        <f>IF(E880&gt;0,G880/E880,"")</f>
        <v/>
      </c>
      <c r="I880" s="11">
        <f>IF(AND(F880&gt;0,G880&gt;0),F880/G880,"")</f>
        <v/>
      </c>
    </row>
    <row r="881">
      <c r="A881" s="4" t="inlineStr">
        <is>
          <t>281</t>
        </is>
      </c>
      <c r="B881" s="4" t="n">
        <v>2</v>
      </c>
      <c r="C881" s="4" t="inlineStr">
        <is>
          <t>whitetail</t>
        </is>
      </c>
      <c r="D881" s="4" t="n">
        <v>2021</v>
      </c>
      <c r="E881" s="5" t="n">
        <v>956</v>
      </c>
      <c r="F881" s="5" t="n">
        <v>6190</v>
      </c>
      <c r="G881" s="5" t="n">
        <v>265</v>
      </c>
      <c r="H881" s="10">
        <f>IF(E881&gt;0,G881/E881,"")</f>
        <v/>
      </c>
      <c r="I881" s="11">
        <f>IF(AND(F881&gt;0,G881&gt;0),F881/G881,"")</f>
        <v/>
      </c>
    </row>
    <row r="882">
      <c r="A882" s="4" t="inlineStr">
        <is>
          <t>281</t>
        </is>
      </c>
      <c r="B882" s="4" t="n">
        <v>2</v>
      </c>
      <c r="C882" s="4" t="inlineStr">
        <is>
          <t>whitetail</t>
        </is>
      </c>
      <c r="D882" s="4" t="n">
        <v>2022</v>
      </c>
      <c r="E882" s="5" t="n"/>
      <c r="F882" s="5" t="n"/>
      <c r="G882" s="5" t="n">
        <v>217</v>
      </c>
      <c r="H882" s="10">
        <f>IF(E882&gt;0,G882/E882,"")</f>
        <v/>
      </c>
      <c r="I882" s="11">
        <f>IF(AND(F882&gt;0,G882&gt;0),F882/G882,"")</f>
        <v/>
      </c>
    </row>
    <row r="883">
      <c r="A883" s="4" t="inlineStr">
        <is>
          <t>281</t>
        </is>
      </c>
      <c r="B883" s="4" t="n">
        <v>2</v>
      </c>
      <c r="C883" s="4" t="inlineStr">
        <is>
          <t>whitetail</t>
        </is>
      </c>
      <c r="D883" s="4" t="n">
        <v>2023</v>
      </c>
      <c r="E883" s="5" t="n">
        <v>1153</v>
      </c>
      <c r="F883" s="5" t="n">
        <v>8211</v>
      </c>
      <c r="G883" s="5" t="n">
        <v>226</v>
      </c>
      <c r="H883" s="10">
        <f>IF(E883&gt;0,G883/E883,"")</f>
        <v/>
      </c>
      <c r="I883" s="11">
        <f>IF(AND(F883&gt;0,G883&gt;0),F883/G883,"")</f>
        <v/>
      </c>
    </row>
    <row r="884">
      <c r="A884" s="4" t="inlineStr">
        <is>
          <t>281</t>
        </is>
      </c>
      <c r="B884" s="4" t="n">
        <v>2</v>
      </c>
      <c r="C884" s="4" t="inlineStr">
        <is>
          <t>whitetail</t>
        </is>
      </c>
      <c r="D884" s="4" t="n">
        <v>2024</v>
      </c>
      <c r="E884" s="5" t="n"/>
      <c r="F884" s="5" t="n"/>
      <c r="G884" s="5" t="n">
        <v>279</v>
      </c>
      <c r="H884" s="10">
        <f>IF(E884&gt;0,G884/E884,"")</f>
        <v/>
      </c>
      <c r="I884" s="11">
        <f>IF(AND(F884&gt;0,G884&gt;0),F884/G884,"")</f>
        <v/>
      </c>
    </row>
    <row r="885">
      <c r="A885" s="4" t="inlineStr">
        <is>
          <t>281</t>
        </is>
      </c>
      <c r="B885" s="4" t="n">
        <v>2</v>
      </c>
      <c r="C885" s="4" t="inlineStr">
        <is>
          <t>whitetail</t>
        </is>
      </c>
      <c r="D885" s="4" t="n">
        <v>2025</v>
      </c>
      <c r="E885" s="5" t="n">
        <v>1229</v>
      </c>
      <c r="F885" s="5" t="n">
        <v>7880</v>
      </c>
      <c r="G885" s="5" t="n">
        <v>285</v>
      </c>
      <c r="H885" s="10">
        <f>IF(E885&gt;0,G885/E885,"")</f>
        <v/>
      </c>
      <c r="I885" s="11">
        <f>IF(AND(F885&gt;0,G885&gt;0),F885/G885,"")</f>
        <v/>
      </c>
    </row>
    <row r="886">
      <c r="A886" s="4" t="inlineStr">
        <is>
          <t>282</t>
        </is>
      </c>
      <c r="B886" s="4" t="n">
        <v>2</v>
      </c>
      <c r="C886" s="4" t="inlineStr">
        <is>
          <t>whitetail</t>
        </is>
      </c>
      <c r="D886" s="4" t="n">
        <v>2021</v>
      </c>
      <c r="E886" s="5" t="n">
        <v>198</v>
      </c>
      <c r="F886" s="5" t="n">
        <v>1195</v>
      </c>
      <c r="G886" s="5" t="n">
        <v>59</v>
      </c>
      <c r="H886" s="10">
        <f>IF(E886&gt;0,G886/E886,"")</f>
        <v/>
      </c>
      <c r="I886" s="11">
        <f>IF(AND(F886&gt;0,G886&gt;0),F886/G886,"")</f>
        <v/>
      </c>
    </row>
    <row r="887">
      <c r="A887" s="4" t="inlineStr">
        <is>
          <t>282</t>
        </is>
      </c>
      <c r="B887" s="4" t="n">
        <v>2</v>
      </c>
      <c r="C887" s="4" t="inlineStr">
        <is>
          <t>whitetail</t>
        </is>
      </c>
      <c r="D887" s="4" t="n">
        <v>2022</v>
      </c>
      <c r="E887" s="5" t="n"/>
      <c r="F887" s="5" t="n"/>
      <c r="G887" s="5" t="n">
        <v>77</v>
      </c>
      <c r="H887" s="10">
        <f>IF(E887&gt;0,G887/E887,"")</f>
        <v/>
      </c>
      <c r="I887" s="11">
        <f>IF(AND(F887&gt;0,G887&gt;0),F887/G887,"")</f>
        <v/>
      </c>
    </row>
    <row r="888">
      <c r="A888" s="4" t="inlineStr">
        <is>
          <t>282</t>
        </is>
      </c>
      <c r="B888" s="4" t="n">
        <v>2</v>
      </c>
      <c r="C888" s="4" t="inlineStr">
        <is>
          <t>whitetail</t>
        </is>
      </c>
      <c r="D888" s="4" t="n">
        <v>2023</v>
      </c>
      <c r="E888" s="5" t="n">
        <v>257</v>
      </c>
      <c r="F888" s="5" t="n">
        <v>1611</v>
      </c>
      <c r="G888" s="5" t="n">
        <v>58</v>
      </c>
      <c r="H888" s="10">
        <f>IF(E888&gt;0,G888/E888,"")</f>
        <v/>
      </c>
      <c r="I888" s="11">
        <f>IF(AND(F888&gt;0,G888&gt;0),F888/G888,"")</f>
        <v/>
      </c>
    </row>
    <row r="889">
      <c r="A889" s="4" t="inlineStr">
        <is>
          <t>282</t>
        </is>
      </c>
      <c r="B889" s="4" t="n">
        <v>2</v>
      </c>
      <c r="C889" s="4" t="inlineStr">
        <is>
          <t>whitetail</t>
        </is>
      </c>
      <c r="D889" s="4" t="n">
        <v>2024</v>
      </c>
      <c r="E889" s="5" t="n"/>
      <c r="F889" s="5" t="n"/>
      <c r="G889" s="5" t="n">
        <v>85</v>
      </c>
      <c r="H889" s="10">
        <f>IF(E889&gt;0,G889/E889,"")</f>
        <v/>
      </c>
      <c r="I889" s="11">
        <f>IF(AND(F889&gt;0,G889&gt;0),F889/G889,"")</f>
        <v/>
      </c>
    </row>
    <row r="890">
      <c r="A890" s="4" t="inlineStr">
        <is>
          <t>282</t>
        </is>
      </c>
      <c r="B890" s="4" t="n">
        <v>2</v>
      </c>
      <c r="C890" s="4" t="inlineStr">
        <is>
          <t>whitetail</t>
        </is>
      </c>
      <c r="D890" s="4" t="n">
        <v>2025</v>
      </c>
      <c r="E890" s="5" t="n">
        <v>367</v>
      </c>
      <c r="F890" s="5" t="n">
        <v>2250</v>
      </c>
      <c r="G890" s="5" t="n">
        <v>93</v>
      </c>
      <c r="H890" s="10">
        <f>IF(E890&gt;0,G890/E890,"")</f>
        <v/>
      </c>
      <c r="I890" s="11">
        <f>IF(AND(F890&gt;0,G890&gt;0),F890/G890,"")</f>
        <v/>
      </c>
    </row>
    <row r="891">
      <c r="A891" s="4" t="inlineStr">
        <is>
          <t>283</t>
        </is>
      </c>
      <c r="B891" s="4" t="n">
        <v>2</v>
      </c>
      <c r="C891" s="4" t="inlineStr">
        <is>
          <t>whitetail</t>
        </is>
      </c>
      <c r="D891" s="4" t="n">
        <v>2021</v>
      </c>
      <c r="E891" s="5" t="n">
        <v>1161</v>
      </c>
      <c r="F891" s="5" t="n">
        <v>7532</v>
      </c>
      <c r="G891" s="5" t="n">
        <v>265</v>
      </c>
      <c r="H891" s="10">
        <f>IF(E891&gt;0,G891/E891,"")</f>
        <v/>
      </c>
      <c r="I891" s="11">
        <f>IF(AND(F891&gt;0,G891&gt;0),F891/G891,"")</f>
        <v/>
      </c>
    </row>
    <row r="892">
      <c r="A892" s="4" t="inlineStr">
        <is>
          <t>284</t>
        </is>
      </c>
      <c r="B892" s="4" t="n">
        <v>2</v>
      </c>
      <c r="C892" s="4" t="inlineStr">
        <is>
          <t>whitetail</t>
        </is>
      </c>
      <c r="D892" s="4" t="n">
        <v>2021</v>
      </c>
      <c r="E892" s="5" t="n">
        <v>200</v>
      </c>
      <c r="F892" s="5" t="n">
        <v>1392</v>
      </c>
      <c r="G892" s="5" t="n">
        <v>46</v>
      </c>
      <c r="H892" s="10">
        <f>IF(E892&gt;0,G892/E892,"")</f>
        <v/>
      </c>
      <c r="I892" s="11">
        <f>IF(AND(F892&gt;0,G892&gt;0),F892/G892,"")</f>
        <v/>
      </c>
    </row>
    <row r="893">
      <c r="A893" s="4" t="inlineStr">
        <is>
          <t>284</t>
        </is>
      </c>
      <c r="B893" s="4" t="n">
        <v>2</v>
      </c>
      <c r="C893" s="4" t="inlineStr">
        <is>
          <t>whitetail</t>
        </is>
      </c>
      <c r="D893" s="4" t="n">
        <v>2022</v>
      </c>
      <c r="E893" s="5" t="n"/>
      <c r="F893" s="5" t="n"/>
      <c r="G893" s="5" t="n">
        <v>23</v>
      </c>
      <c r="H893" s="10">
        <f>IF(E893&gt;0,G893/E893,"")</f>
        <v/>
      </c>
      <c r="I893" s="11">
        <f>IF(AND(F893&gt;0,G893&gt;0),F893/G893,"")</f>
        <v/>
      </c>
    </row>
    <row r="894">
      <c r="A894" s="4" t="inlineStr">
        <is>
          <t>284</t>
        </is>
      </c>
      <c r="B894" s="4" t="n">
        <v>2</v>
      </c>
      <c r="C894" s="4" t="inlineStr">
        <is>
          <t>whitetail</t>
        </is>
      </c>
      <c r="D894" s="4" t="n">
        <v>2023</v>
      </c>
      <c r="E894" s="5" t="n">
        <v>120</v>
      </c>
      <c r="F894" s="5" t="n">
        <v>1198</v>
      </c>
      <c r="G894" s="5" t="n">
        <v>20</v>
      </c>
      <c r="H894" s="10">
        <f>IF(E894&gt;0,G894/E894,"")</f>
        <v/>
      </c>
      <c r="I894" s="11">
        <f>IF(AND(F894&gt;0,G894&gt;0),F894/G894,"")</f>
        <v/>
      </c>
    </row>
    <row r="895">
      <c r="A895" s="4" t="inlineStr">
        <is>
          <t>284</t>
        </is>
      </c>
      <c r="B895" s="4" t="n">
        <v>2</v>
      </c>
      <c r="C895" s="4" t="inlineStr">
        <is>
          <t>whitetail</t>
        </is>
      </c>
      <c r="D895" s="4" t="n">
        <v>2024</v>
      </c>
      <c r="E895" s="5" t="n"/>
      <c r="F895" s="5" t="n"/>
      <c r="G895" s="5" t="n">
        <v>35</v>
      </c>
      <c r="H895" s="10">
        <f>IF(E895&gt;0,G895/E895,"")</f>
        <v/>
      </c>
      <c r="I895" s="11">
        <f>IF(AND(F895&gt;0,G895&gt;0),F895/G895,"")</f>
        <v/>
      </c>
    </row>
    <row r="896">
      <c r="A896" s="4" t="inlineStr">
        <is>
          <t>284</t>
        </is>
      </c>
      <c r="B896" s="4" t="n">
        <v>2</v>
      </c>
      <c r="C896" s="4" t="inlineStr">
        <is>
          <t>whitetail</t>
        </is>
      </c>
      <c r="D896" s="4" t="n">
        <v>2025</v>
      </c>
      <c r="E896" s="5" t="n">
        <v>174</v>
      </c>
      <c r="F896" s="5" t="n">
        <v>1185</v>
      </c>
      <c r="G896" s="5" t="n">
        <v>14</v>
      </c>
      <c r="H896" s="10">
        <f>IF(E896&gt;0,G896/E896,"")</f>
        <v/>
      </c>
      <c r="I896" s="11">
        <f>IF(AND(F896&gt;0,G896&gt;0),F896/G896,"")</f>
        <v/>
      </c>
    </row>
    <row r="897">
      <c r="A897" s="4" t="inlineStr">
        <is>
          <t>285</t>
        </is>
      </c>
      <c r="B897" s="4" t="n">
        <v>2</v>
      </c>
      <c r="C897" s="4" t="inlineStr">
        <is>
          <t>whitetail</t>
        </is>
      </c>
      <c r="D897" s="4" t="n">
        <v>2021</v>
      </c>
      <c r="E897" s="5" t="n">
        <v>2106</v>
      </c>
      <c r="F897" s="5" t="n">
        <v>14948</v>
      </c>
      <c r="G897" s="5" t="n">
        <v>659</v>
      </c>
      <c r="H897" s="10">
        <f>IF(E897&gt;0,G897/E897,"")</f>
        <v/>
      </c>
      <c r="I897" s="11">
        <f>IF(AND(F897&gt;0,G897&gt;0),F897/G897,"")</f>
        <v/>
      </c>
    </row>
    <row r="898">
      <c r="A898" s="4" t="inlineStr">
        <is>
          <t>285</t>
        </is>
      </c>
      <c r="B898" s="4" t="n">
        <v>2</v>
      </c>
      <c r="C898" s="4" t="inlineStr">
        <is>
          <t>whitetail</t>
        </is>
      </c>
      <c r="D898" s="4" t="n">
        <v>2022</v>
      </c>
      <c r="E898" s="5" t="n"/>
      <c r="F898" s="5" t="n"/>
      <c r="G898" s="5" t="n">
        <v>728</v>
      </c>
      <c r="H898" s="10">
        <f>IF(E898&gt;0,G898/E898,"")</f>
        <v/>
      </c>
      <c r="I898" s="11">
        <f>IF(AND(F898&gt;0,G898&gt;0),F898/G898,"")</f>
        <v/>
      </c>
    </row>
    <row r="899">
      <c r="A899" s="4" t="inlineStr">
        <is>
          <t>285</t>
        </is>
      </c>
      <c r="B899" s="4" t="n">
        <v>2</v>
      </c>
      <c r="C899" s="4" t="inlineStr">
        <is>
          <t>whitetail</t>
        </is>
      </c>
      <c r="D899" s="4" t="n">
        <v>2023</v>
      </c>
      <c r="E899" s="5" t="n">
        <v>2665</v>
      </c>
      <c r="F899" s="5" t="n">
        <v>18860</v>
      </c>
      <c r="G899" s="5" t="n">
        <v>829</v>
      </c>
      <c r="H899" s="10">
        <f>IF(E899&gt;0,G899/E899,"")</f>
        <v/>
      </c>
      <c r="I899" s="11">
        <f>IF(AND(F899&gt;0,G899&gt;0),F899/G899,"")</f>
        <v/>
      </c>
    </row>
    <row r="900">
      <c r="A900" s="4" t="inlineStr">
        <is>
          <t>285</t>
        </is>
      </c>
      <c r="B900" s="4" t="n">
        <v>2</v>
      </c>
      <c r="C900" s="4" t="inlineStr">
        <is>
          <t>whitetail</t>
        </is>
      </c>
      <c r="D900" s="4" t="n">
        <v>2024</v>
      </c>
      <c r="E900" s="5" t="n"/>
      <c r="F900" s="5" t="n"/>
      <c r="G900" s="5" t="n">
        <v>872</v>
      </c>
      <c r="H900" s="10">
        <f>IF(E900&gt;0,G900/E900,"")</f>
        <v/>
      </c>
      <c r="I900" s="11">
        <f>IF(AND(F900&gt;0,G900&gt;0),F900/G900,"")</f>
        <v/>
      </c>
    </row>
    <row r="901">
      <c r="A901" s="4" t="inlineStr">
        <is>
          <t>285</t>
        </is>
      </c>
      <c r="B901" s="4" t="n">
        <v>2</v>
      </c>
      <c r="C901" s="4" t="inlineStr">
        <is>
          <t>whitetail</t>
        </is>
      </c>
      <c r="D901" s="4" t="n">
        <v>2025</v>
      </c>
      <c r="E901" s="5" t="n">
        <v>3133</v>
      </c>
      <c r="F901" s="5" t="n">
        <v>20680</v>
      </c>
      <c r="G901" s="5" t="n">
        <v>962</v>
      </c>
      <c r="H901" s="10">
        <f>IF(E901&gt;0,G901/E901,"")</f>
        <v/>
      </c>
      <c r="I901" s="11">
        <f>IF(AND(F901&gt;0,G901&gt;0),F901/G901,"")</f>
        <v/>
      </c>
    </row>
    <row r="902">
      <c r="A902" s="4" t="inlineStr">
        <is>
          <t>290</t>
        </is>
      </c>
      <c r="B902" s="4" t="n">
        <v>2</v>
      </c>
      <c r="C902" s="4" t="inlineStr">
        <is>
          <t>whitetail</t>
        </is>
      </c>
      <c r="D902" s="4" t="n">
        <v>2021</v>
      </c>
      <c r="E902" s="5" t="n">
        <v>230</v>
      </c>
      <c r="F902" s="5" t="n">
        <v>1882</v>
      </c>
      <c r="G902" s="5" t="n">
        <v>52</v>
      </c>
      <c r="H902" s="10">
        <f>IF(E902&gt;0,G902/E902,"")</f>
        <v/>
      </c>
      <c r="I902" s="11">
        <f>IF(AND(F902&gt;0,G902&gt;0),F902/G902,"")</f>
        <v/>
      </c>
    </row>
    <row r="903">
      <c r="A903" s="4" t="inlineStr">
        <is>
          <t>290</t>
        </is>
      </c>
      <c r="B903" s="4" t="n">
        <v>2</v>
      </c>
      <c r="C903" s="4" t="inlineStr">
        <is>
          <t>whitetail</t>
        </is>
      </c>
      <c r="D903" s="4" t="n">
        <v>2022</v>
      </c>
      <c r="E903" s="5" t="n"/>
      <c r="F903" s="5" t="n"/>
      <c r="G903" s="5" t="n">
        <v>67</v>
      </c>
      <c r="H903" s="10">
        <f>IF(E903&gt;0,G903/E903,"")</f>
        <v/>
      </c>
      <c r="I903" s="11">
        <f>IF(AND(F903&gt;0,G903&gt;0),F903/G903,"")</f>
        <v/>
      </c>
    </row>
    <row r="904">
      <c r="A904" s="4" t="inlineStr">
        <is>
          <t>290</t>
        </is>
      </c>
      <c r="B904" s="4" t="n">
        <v>2</v>
      </c>
      <c r="C904" s="4" t="inlineStr">
        <is>
          <t>whitetail</t>
        </is>
      </c>
      <c r="D904" s="4" t="n">
        <v>2023</v>
      </c>
      <c r="E904" s="5" t="n">
        <v>190</v>
      </c>
      <c r="F904" s="5" t="n">
        <v>1373</v>
      </c>
      <c r="G904" s="5" t="n">
        <v>54</v>
      </c>
      <c r="H904" s="10">
        <f>IF(E904&gt;0,G904/E904,"")</f>
        <v/>
      </c>
      <c r="I904" s="11">
        <f>IF(AND(F904&gt;0,G904&gt;0),F904/G904,"")</f>
        <v/>
      </c>
    </row>
    <row r="905">
      <c r="A905" s="4" t="inlineStr">
        <is>
          <t>290</t>
        </is>
      </c>
      <c r="B905" s="4" t="n">
        <v>2</v>
      </c>
      <c r="C905" s="4" t="inlineStr">
        <is>
          <t>whitetail</t>
        </is>
      </c>
      <c r="D905" s="4" t="n">
        <v>2024</v>
      </c>
      <c r="E905" s="5" t="n"/>
      <c r="F905" s="5" t="n"/>
      <c r="G905" s="5" t="n">
        <v>61</v>
      </c>
      <c r="H905" s="10">
        <f>IF(E905&gt;0,G905/E905,"")</f>
        <v/>
      </c>
      <c r="I905" s="11">
        <f>IF(AND(F905&gt;0,G905&gt;0),F905/G905,"")</f>
        <v/>
      </c>
    </row>
    <row r="906">
      <c r="A906" s="4" t="inlineStr">
        <is>
          <t>290</t>
        </is>
      </c>
      <c r="B906" s="4" t="n">
        <v>2</v>
      </c>
      <c r="C906" s="4" t="inlineStr">
        <is>
          <t>whitetail</t>
        </is>
      </c>
      <c r="D906" s="4" t="n">
        <v>2025</v>
      </c>
      <c r="E906" s="5" t="n">
        <v>317</v>
      </c>
      <c r="F906" s="5" t="n">
        <v>2325</v>
      </c>
      <c r="G906" s="5" t="n">
        <v>71</v>
      </c>
      <c r="H906" s="10">
        <f>IF(E906&gt;0,G906/E906,"")</f>
        <v/>
      </c>
      <c r="I906" s="11">
        <f>IF(AND(F906&gt;0,G906&gt;0),F906/G906,"")</f>
        <v/>
      </c>
    </row>
    <row r="907">
      <c r="A907" s="4" t="inlineStr">
        <is>
          <t>291</t>
        </is>
      </c>
      <c r="B907" s="4" t="n">
        <v>2</v>
      </c>
      <c r="C907" s="4" t="inlineStr">
        <is>
          <t>whitetail</t>
        </is>
      </c>
      <c r="D907" s="4" t="n">
        <v>2021</v>
      </c>
      <c r="E907" s="5" t="n">
        <v>362</v>
      </c>
      <c r="F907" s="5" t="n">
        <v>2121</v>
      </c>
      <c r="G907" s="5" t="n">
        <v>62</v>
      </c>
      <c r="H907" s="10">
        <f>IF(E907&gt;0,G907/E907,"")</f>
        <v/>
      </c>
      <c r="I907" s="11">
        <f>IF(AND(F907&gt;0,G907&gt;0),F907/G907,"")</f>
        <v/>
      </c>
    </row>
    <row r="908">
      <c r="A908" s="4" t="inlineStr">
        <is>
          <t>291</t>
        </is>
      </c>
      <c r="B908" s="4" t="n">
        <v>2</v>
      </c>
      <c r="C908" s="4" t="inlineStr">
        <is>
          <t>whitetail</t>
        </is>
      </c>
      <c r="D908" s="4" t="n">
        <v>2022</v>
      </c>
      <c r="E908" s="5" t="n"/>
      <c r="F908" s="5" t="n"/>
      <c r="G908" s="5" t="n">
        <v>33</v>
      </c>
      <c r="H908" s="10">
        <f>IF(E908&gt;0,G908/E908,"")</f>
        <v/>
      </c>
      <c r="I908" s="11">
        <f>IF(AND(F908&gt;0,G908&gt;0),F908/G908,"")</f>
        <v/>
      </c>
    </row>
    <row r="909">
      <c r="A909" s="4" t="inlineStr">
        <is>
          <t>291</t>
        </is>
      </c>
      <c r="B909" s="4" t="n">
        <v>2</v>
      </c>
      <c r="C909" s="4" t="inlineStr">
        <is>
          <t>whitetail</t>
        </is>
      </c>
      <c r="D909" s="4" t="n">
        <v>2023</v>
      </c>
      <c r="E909" s="5" t="n">
        <v>250</v>
      </c>
      <c r="F909" s="5" t="n">
        <v>1687</v>
      </c>
      <c r="G909" s="5" t="n">
        <v>23</v>
      </c>
      <c r="H909" s="10">
        <f>IF(E909&gt;0,G909/E909,"")</f>
        <v/>
      </c>
      <c r="I909" s="11">
        <f>IF(AND(F909&gt;0,G909&gt;0),F909/G909,"")</f>
        <v/>
      </c>
    </row>
    <row r="910">
      <c r="A910" s="4" t="inlineStr">
        <is>
          <t>291</t>
        </is>
      </c>
      <c r="B910" s="4" t="n">
        <v>2</v>
      </c>
      <c r="C910" s="4" t="inlineStr">
        <is>
          <t>whitetail</t>
        </is>
      </c>
      <c r="D910" s="4" t="n">
        <v>2024</v>
      </c>
      <c r="E910" s="5" t="n"/>
      <c r="F910" s="5" t="n"/>
      <c r="G910" s="5" t="n">
        <v>35</v>
      </c>
      <c r="H910" s="10">
        <f>IF(E910&gt;0,G910/E910,"")</f>
        <v/>
      </c>
      <c r="I910" s="11">
        <f>IF(AND(F910&gt;0,G910&gt;0),F910/G910,"")</f>
        <v/>
      </c>
    </row>
    <row r="911">
      <c r="A911" s="4" t="inlineStr">
        <is>
          <t>291</t>
        </is>
      </c>
      <c r="B911" s="4" t="n">
        <v>2</v>
      </c>
      <c r="C911" s="4" t="inlineStr">
        <is>
          <t>whitetail</t>
        </is>
      </c>
      <c r="D911" s="4" t="n">
        <v>2025</v>
      </c>
      <c r="E911" s="5" t="n">
        <v>377</v>
      </c>
      <c r="F911" s="5" t="n">
        <v>2128</v>
      </c>
      <c r="G911" s="5" t="n">
        <v>45</v>
      </c>
      <c r="H911" s="10">
        <f>IF(E911&gt;0,G911/E911,"")</f>
        <v/>
      </c>
      <c r="I911" s="11">
        <f>IF(AND(F911&gt;0,G911&gt;0),F911/G911,"")</f>
        <v/>
      </c>
    </row>
    <row r="912">
      <c r="A912" s="4" t="inlineStr">
        <is>
          <t>292</t>
        </is>
      </c>
      <c r="B912" s="4" t="n">
        <v>2</v>
      </c>
      <c r="C912" s="4" t="inlineStr">
        <is>
          <t>whitetail</t>
        </is>
      </c>
      <c r="D912" s="4" t="n">
        <v>2021</v>
      </c>
      <c r="E912" s="5" t="n">
        <v>1128</v>
      </c>
      <c r="F912" s="5" t="n">
        <v>6775</v>
      </c>
      <c r="G912" s="5" t="n">
        <v>300</v>
      </c>
      <c r="H912" s="10">
        <f>IF(E912&gt;0,G912/E912,"")</f>
        <v/>
      </c>
      <c r="I912" s="11">
        <f>IF(AND(F912&gt;0,G912&gt;0),F912/G912,"")</f>
        <v/>
      </c>
    </row>
    <row r="913">
      <c r="A913" s="4" t="inlineStr">
        <is>
          <t>292</t>
        </is>
      </c>
      <c r="B913" s="4" t="n">
        <v>2</v>
      </c>
      <c r="C913" s="4" t="inlineStr">
        <is>
          <t>whitetail</t>
        </is>
      </c>
      <c r="D913" s="4" t="n">
        <v>2022</v>
      </c>
      <c r="E913" s="5" t="n"/>
      <c r="F913" s="5" t="n"/>
      <c r="G913" s="5" t="n">
        <v>354</v>
      </c>
      <c r="H913" s="10">
        <f>IF(E913&gt;0,G913/E913,"")</f>
        <v/>
      </c>
      <c r="I913" s="11">
        <f>IF(AND(F913&gt;0,G913&gt;0),F913/G913,"")</f>
        <v/>
      </c>
    </row>
    <row r="914">
      <c r="A914" s="4" t="inlineStr">
        <is>
          <t>292</t>
        </is>
      </c>
      <c r="B914" s="4" t="n">
        <v>2</v>
      </c>
      <c r="C914" s="4" t="inlineStr">
        <is>
          <t>whitetail</t>
        </is>
      </c>
      <c r="D914" s="4" t="n">
        <v>2023</v>
      </c>
      <c r="E914" s="5" t="n">
        <v>1477</v>
      </c>
      <c r="F914" s="5" t="n">
        <v>8958</v>
      </c>
      <c r="G914" s="5" t="n">
        <v>311</v>
      </c>
      <c r="H914" s="10">
        <f>IF(E914&gt;0,G914/E914,"")</f>
        <v/>
      </c>
      <c r="I914" s="11">
        <f>IF(AND(F914&gt;0,G914&gt;0),F914/G914,"")</f>
        <v/>
      </c>
    </row>
    <row r="915">
      <c r="A915" s="4" t="inlineStr">
        <is>
          <t>292</t>
        </is>
      </c>
      <c r="B915" s="4" t="n">
        <v>2</v>
      </c>
      <c r="C915" s="4" t="inlineStr">
        <is>
          <t>whitetail</t>
        </is>
      </c>
      <c r="D915" s="4" t="n">
        <v>2024</v>
      </c>
      <c r="E915" s="5" t="n"/>
      <c r="F915" s="5" t="n"/>
      <c r="G915" s="5" t="n">
        <v>319</v>
      </c>
      <c r="H915" s="10">
        <f>IF(E915&gt;0,G915/E915,"")</f>
        <v/>
      </c>
      <c r="I915" s="11">
        <f>IF(AND(F915&gt;0,G915&gt;0),F915/G915,"")</f>
        <v/>
      </c>
    </row>
    <row r="916">
      <c r="A916" s="4" t="inlineStr">
        <is>
          <t>292</t>
        </is>
      </c>
      <c r="B916" s="4" t="n">
        <v>2</v>
      </c>
      <c r="C916" s="4" t="inlineStr">
        <is>
          <t>whitetail</t>
        </is>
      </c>
      <c r="D916" s="4" t="n">
        <v>2025</v>
      </c>
      <c r="E916" s="5" t="n">
        <v>1492</v>
      </c>
      <c r="F916" s="5" t="n">
        <v>9373</v>
      </c>
      <c r="G916" s="5" t="n">
        <v>289</v>
      </c>
      <c r="H916" s="10">
        <f>IF(E916&gt;0,G916/E916,"")</f>
        <v/>
      </c>
      <c r="I916" s="11">
        <f>IF(AND(F916&gt;0,G916&gt;0),F916/G916,"")</f>
        <v/>
      </c>
    </row>
    <row r="917">
      <c r="A917" s="4" t="inlineStr">
        <is>
          <t>293</t>
        </is>
      </c>
      <c r="B917" s="4" t="n">
        <v>2</v>
      </c>
      <c r="C917" s="4" t="inlineStr">
        <is>
          <t>whitetail</t>
        </is>
      </c>
      <c r="D917" s="4" t="n">
        <v>2021</v>
      </c>
      <c r="E917" s="5" t="n">
        <v>977</v>
      </c>
      <c r="F917" s="5" t="n">
        <v>6663</v>
      </c>
      <c r="G917" s="5" t="n">
        <v>119</v>
      </c>
      <c r="H917" s="10">
        <f>IF(E917&gt;0,G917/E917,"")</f>
        <v/>
      </c>
      <c r="I917" s="11">
        <f>IF(AND(F917&gt;0,G917&gt;0),F917/G917,"")</f>
        <v/>
      </c>
    </row>
    <row r="918">
      <c r="A918" s="4" t="inlineStr">
        <is>
          <t>293</t>
        </is>
      </c>
      <c r="B918" s="4" t="n">
        <v>2</v>
      </c>
      <c r="C918" s="4" t="inlineStr">
        <is>
          <t>whitetail</t>
        </is>
      </c>
      <c r="D918" s="4" t="n">
        <v>2022</v>
      </c>
      <c r="E918" s="5" t="n"/>
      <c r="F918" s="5" t="n"/>
      <c r="G918" s="5" t="n">
        <v>119</v>
      </c>
      <c r="H918" s="10">
        <f>IF(E918&gt;0,G918/E918,"")</f>
        <v/>
      </c>
      <c r="I918" s="11">
        <f>IF(AND(F918&gt;0,G918&gt;0),F918/G918,"")</f>
        <v/>
      </c>
    </row>
    <row r="919">
      <c r="A919" s="4" t="inlineStr">
        <is>
          <t>293</t>
        </is>
      </c>
      <c r="B919" s="4" t="n">
        <v>2</v>
      </c>
      <c r="C919" s="4" t="inlineStr">
        <is>
          <t>whitetail</t>
        </is>
      </c>
      <c r="D919" s="4" t="n">
        <v>2023</v>
      </c>
      <c r="E919" s="5" t="n">
        <v>1061</v>
      </c>
      <c r="F919" s="5" t="n">
        <v>7106</v>
      </c>
      <c r="G919" s="5" t="n">
        <v>131</v>
      </c>
      <c r="H919" s="10">
        <f>IF(E919&gt;0,G919/E919,"")</f>
        <v/>
      </c>
      <c r="I919" s="11">
        <f>IF(AND(F919&gt;0,G919&gt;0),F919/G919,"")</f>
        <v/>
      </c>
    </row>
    <row r="920">
      <c r="A920" s="4" t="inlineStr">
        <is>
          <t>293</t>
        </is>
      </c>
      <c r="B920" s="4" t="n">
        <v>2</v>
      </c>
      <c r="C920" s="4" t="inlineStr">
        <is>
          <t>whitetail</t>
        </is>
      </c>
      <c r="D920" s="4" t="n">
        <v>2024</v>
      </c>
      <c r="E920" s="5" t="n"/>
      <c r="F920" s="5" t="n"/>
      <c r="G920" s="5" t="n">
        <v>103</v>
      </c>
      <c r="H920" s="10">
        <f>IF(E920&gt;0,G920/E920,"")</f>
        <v/>
      </c>
      <c r="I920" s="11">
        <f>IF(AND(F920&gt;0,G920&gt;0),F920/G920,"")</f>
        <v/>
      </c>
    </row>
    <row r="921">
      <c r="A921" s="4" t="inlineStr">
        <is>
          <t>293</t>
        </is>
      </c>
      <c r="B921" s="4" t="n">
        <v>2</v>
      </c>
      <c r="C921" s="4" t="inlineStr">
        <is>
          <t>whitetail</t>
        </is>
      </c>
      <c r="D921" s="4" t="n">
        <v>2025</v>
      </c>
      <c r="E921" s="5" t="n">
        <v>1065</v>
      </c>
      <c r="F921" s="5" t="n">
        <v>7835</v>
      </c>
      <c r="G921" s="5" t="n">
        <v>176</v>
      </c>
      <c r="H921" s="10">
        <f>IF(E921&gt;0,G921/E921,"")</f>
        <v/>
      </c>
      <c r="I921" s="11">
        <f>IF(AND(F921&gt;0,G921&gt;0),F921/G921,"")</f>
        <v/>
      </c>
    </row>
    <row r="922">
      <c r="A922" s="4" t="inlineStr">
        <is>
          <t>298</t>
        </is>
      </c>
      <c r="B922" s="4" t="n">
        <v>2</v>
      </c>
      <c r="C922" s="4" t="inlineStr">
        <is>
          <t>whitetail</t>
        </is>
      </c>
      <c r="D922" s="4" t="n">
        <v>2021</v>
      </c>
      <c r="E922" s="5" t="n">
        <v>177</v>
      </c>
      <c r="F922" s="5" t="n">
        <v>1077</v>
      </c>
      <c r="G922" s="5" t="n">
        <v>40</v>
      </c>
      <c r="H922" s="10">
        <f>IF(E922&gt;0,G922/E922,"")</f>
        <v/>
      </c>
      <c r="I922" s="11">
        <f>IF(AND(F922&gt;0,G922&gt;0),F922/G922,"")</f>
        <v/>
      </c>
    </row>
    <row r="923">
      <c r="A923" s="4" t="inlineStr">
        <is>
          <t>298</t>
        </is>
      </c>
      <c r="B923" s="4" t="n">
        <v>2</v>
      </c>
      <c r="C923" s="4" t="inlineStr">
        <is>
          <t>whitetail</t>
        </is>
      </c>
      <c r="D923" s="4" t="n">
        <v>2022</v>
      </c>
      <c r="E923" s="5" t="n"/>
      <c r="F923" s="5" t="n"/>
      <c r="G923" s="5" t="n">
        <v>38</v>
      </c>
      <c r="H923" s="10">
        <f>IF(E923&gt;0,G923/E923,"")</f>
        <v/>
      </c>
      <c r="I923" s="11">
        <f>IF(AND(F923&gt;0,G923&gt;0),F923/G923,"")</f>
        <v/>
      </c>
    </row>
    <row r="924">
      <c r="A924" s="4" t="inlineStr">
        <is>
          <t>298</t>
        </is>
      </c>
      <c r="B924" s="4" t="n">
        <v>2</v>
      </c>
      <c r="C924" s="4" t="inlineStr">
        <is>
          <t>whitetail</t>
        </is>
      </c>
      <c r="D924" s="4" t="n">
        <v>2023</v>
      </c>
      <c r="E924" s="5" t="n">
        <v>217</v>
      </c>
      <c r="F924" s="5" t="n">
        <v>1243</v>
      </c>
      <c r="G924" s="5" t="n">
        <v>38</v>
      </c>
      <c r="H924" s="10">
        <f>IF(E924&gt;0,G924/E924,"")</f>
        <v/>
      </c>
      <c r="I924" s="11">
        <f>IF(AND(F924&gt;0,G924&gt;0),F924/G924,"")</f>
        <v/>
      </c>
    </row>
    <row r="925">
      <c r="A925" s="4" t="inlineStr">
        <is>
          <t>298</t>
        </is>
      </c>
      <c r="B925" s="4" t="n">
        <v>2</v>
      </c>
      <c r="C925" s="4" t="inlineStr">
        <is>
          <t>whitetail</t>
        </is>
      </c>
      <c r="D925" s="4" t="n">
        <v>2024</v>
      </c>
      <c r="E925" s="5" t="n"/>
      <c r="F925" s="5" t="n"/>
      <c r="G925" s="5" t="n">
        <v>34</v>
      </c>
      <c r="H925" s="10">
        <f>IF(E925&gt;0,G925/E925,"")</f>
        <v/>
      </c>
      <c r="I925" s="11">
        <f>IF(AND(F925&gt;0,G925&gt;0),F925/G925,"")</f>
        <v/>
      </c>
    </row>
    <row r="926">
      <c r="A926" s="4" t="inlineStr">
        <is>
          <t>298</t>
        </is>
      </c>
      <c r="B926" s="4" t="n">
        <v>2</v>
      </c>
      <c r="C926" s="4" t="inlineStr">
        <is>
          <t>whitetail</t>
        </is>
      </c>
      <c r="D926" s="4" t="n">
        <v>2025</v>
      </c>
      <c r="E926" s="5" t="n">
        <v>286</v>
      </c>
      <c r="F926" s="5" t="n">
        <v>1663</v>
      </c>
      <c r="G926" s="5" t="n">
        <v>66</v>
      </c>
      <c r="H926" s="10">
        <f>IF(E926&gt;0,G926/E926,"")</f>
        <v/>
      </c>
      <c r="I926" s="11">
        <f>IF(AND(F926&gt;0,G926&gt;0),F926/G926,"")</f>
        <v/>
      </c>
    </row>
    <row r="927">
      <c r="A927" s="4" t="inlineStr">
        <is>
          <t>300</t>
        </is>
      </c>
      <c r="B927" s="4" t="n">
        <v>3</v>
      </c>
      <c r="C927" s="4" t="inlineStr">
        <is>
          <t>whitetail</t>
        </is>
      </c>
      <c r="D927" s="4" t="n">
        <v>2021</v>
      </c>
      <c r="E927" s="5" t="n">
        <v>653</v>
      </c>
      <c r="F927" s="5" t="n">
        <v>4641</v>
      </c>
      <c r="G927" s="5" t="n">
        <v>46</v>
      </c>
      <c r="H927" s="10">
        <f>IF(E927&gt;0,G927/E927,"")</f>
        <v/>
      </c>
      <c r="I927" s="11">
        <f>IF(AND(F927&gt;0,G927&gt;0),F927/G927,"")</f>
        <v/>
      </c>
    </row>
    <row r="928">
      <c r="A928" s="4" t="inlineStr">
        <is>
          <t>301</t>
        </is>
      </c>
      <c r="B928" s="4" t="n">
        <v>3</v>
      </c>
      <c r="C928" s="4" t="inlineStr">
        <is>
          <t>whitetail</t>
        </is>
      </c>
      <c r="D928" s="4" t="n">
        <v>2021</v>
      </c>
      <c r="E928" s="5" t="n">
        <v>704</v>
      </c>
      <c r="F928" s="5" t="n">
        <v>4334</v>
      </c>
      <c r="G928" s="5" t="n">
        <v>146</v>
      </c>
      <c r="H928" s="10">
        <f>IF(E928&gt;0,G928/E928,"")</f>
        <v/>
      </c>
      <c r="I928" s="11">
        <f>IF(AND(F928&gt;0,G928&gt;0),F928/G928,"")</f>
        <v/>
      </c>
    </row>
    <row r="929">
      <c r="A929" s="4" t="inlineStr">
        <is>
          <t>301</t>
        </is>
      </c>
      <c r="B929" s="4" t="n">
        <v>3</v>
      </c>
      <c r="C929" s="4" t="inlineStr">
        <is>
          <t>whitetail</t>
        </is>
      </c>
      <c r="D929" s="4" t="n">
        <v>2022</v>
      </c>
      <c r="E929" s="5" t="n"/>
      <c r="F929" s="5" t="n"/>
      <c r="G929" s="5" t="n">
        <v>124</v>
      </c>
      <c r="H929" s="10">
        <f>IF(E929&gt;0,G929/E929,"")</f>
        <v/>
      </c>
      <c r="I929" s="11">
        <f>IF(AND(F929&gt;0,G929&gt;0),F929/G929,"")</f>
        <v/>
      </c>
    </row>
    <row r="930">
      <c r="A930" s="4" t="inlineStr">
        <is>
          <t>301</t>
        </is>
      </c>
      <c r="B930" s="4" t="n">
        <v>3</v>
      </c>
      <c r="C930" s="4" t="inlineStr">
        <is>
          <t>whitetail</t>
        </is>
      </c>
      <c r="D930" s="4" t="n">
        <v>2023</v>
      </c>
      <c r="E930" s="5" t="n">
        <v>952</v>
      </c>
      <c r="F930" s="5" t="n">
        <v>6492</v>
      </c>
      <c r="G930" s="5" t="n">
        <v>139</v>
      </c>
      <c r="H930" s="10">
        <f>IF(E930&gt;0,G930/E930,"")</f>
        <v/>
      </c>
      <c r="I930" s="11">
        <f>IF(AND(F930&gt;0,G930&gt;0),F930/G930,"")</f>
        <v/>
      </c>
    </row>
    <row r="931">
      <c r="A931" s="4" t="inlineStr">
        <is>
          <t>301</t>
        </is>
      </c>
      <c r="B931" s="4" t="n">
        <v>3</v>
      </c>
      <c r="C931" s="4" t="inlineStr">
        <is>
          <t>whitetail</t>
        </is>
      </c>
      <c r="D931" s="4" t="n">
        <v>2024</v>
      </c>
      <c r="E931" s="5" t="n"/>
      <c r="F931" s="5" t="n"/>
      <c r="G931" s="5" t="n">
        <v>202</v>
      </c>
      <c r="H931" s="10">
        <f>IF(E931&gt;0,G931/E931,"")</f>
        <v/>
      </c>
      <c r="I931" s="11">
        <f>IF(AND(F931&gt;0,G931&gt;0),F931/G931,"")</f>
        <v/>
      </c>
    </row>
    <row r="932">
      <c r="A932" s="4" t="inlineStr">
        <is>
          <t>301</t>
        </is>
      </c>
      <c r="B932" s="4" t="n">
        <v>3</v>
      </c>
      <c r="C932" s="4" t="inlineStr">
        <is>
          <t>whitetail</t>
        </is>
      </c>
      <c r="D932" s="4" t="n">
        <v>2025</v>
      </c>
      <c r="E932" s="5" t="n">
        <v>1106</v>
      </c>
      <c r="F932" s="5" t="n">
        <v>6509</v>
      </c>
      <c r="G932" s="5" t="n">
        <v>169</v>
      </c>
      <c r="H932" s="10">
        <f>IF(E932&gt;0,G932/E932,"")</f>
        <v/>
      </c>
      <c r="I932" s="11">
        <f>IF(AND(F932&gt;0,G932&gt;0),F932/G932,"")</f>
        <v/>
      </c>
    </row>
    <row r="933">
      <c r="A933" s="4" t="inlineStr">
        <is>
          <t>302</t>
        </is>
      </c>
      <c r="B933" s="4" t="n">
        <v>3</v>
      </c>
      <c r="C933" s="4" t="inlineStr">
        <is>
          <t>whitetail</t>
        </is>
      </c>
      <c r="D933" s="4" t="n">
        <v>2021</v>
      </c>
      <c r="E933" s="5" t="n">
        <v>726</v>
      </c>
      <c r="F933" s="5" t="n">
        <v>4422</v>
      </c>
      <c r="G933" s="5" t="n">
        <v>32</v>
      </c>
      <c r="H933" s="10">
        <f>IF(E933&gt;0,G933/E933,"")</f>
        <v/>
      </c>
      <c r="I933" s="11">
        <f>IF(AND(F933&gt;0,G933&gt;0),F933/G933,"")</f>
        <v/>
      </c>
    </row>
    <row r="934">
      <c r="A934" s="4" t="inlineStr">
        <is>
          <t>302</t>
        </is>
      </c>
      <c r="B934" s="4" t="n">
        <v>3</v>
      </c>
      <c r="C934" s="4" t="inlineStr">
        <is>
          <t>whitetail</t>
        </is>
      </c>
      <c r="D934" s="4" t="n">
        <v>2022</v>
      </c>
      <c r="E934" s="5" t="n"/>
      <c r="F934" s="5" t="n"/>
      <c r="G934" s="5" t="n">
        <v>37</v>
      </c>
      <c r="H934" s="10">
        <f>IF(E934&gt;0,G934/E934,"")</f>
        <v/>
      </c>
      <c r="I934" s="11">
        <f>IF(AND(F934&gt;0,G934&gt;0),F934/G934,"")</f>
        <v/>
      </c>
    </row>
    <row r="935">
      <c r="A935" s="4" t="inlineStr">
        <is>
          <t>302</t>
        </is>
      </c>
      <c r="B935" s="4" t="n">
        <v>3</v>
      </c>
      <c r="C935" s="4" t="inlineStr">
        <is>
          <t>whitetail</t>
        </is>
      </c>
      <c r="D935" s="4" t="n">
        <v>2023</v>
      </c>
      <c r="E935" s="5" t="n">
        <v>764</v>
      </c>
      <c r="F935" s="5" t="n">
        <v>4757</v>
      </c>
      <c r="G935" s="5" t="n">
        <v>85</v>
      </c>
      <c r="H935" s="10">
        <f>IF(E935&gt;0,G935/E935,"")</f>
        <v/>
      </c>
      <c r="I935" s="11">
        <f>IF(AND(F935&gt;0,G935&gt;0),F935/G935,"")</f>
        <v/>
      </c>
    </row>
    <row r="936">
      <c r="A936" s="4" t="inlineStr">
        <is>
          <t>302</t>
        </is>
      </c>
      <c r="B936" s="4" t="n">
        <v>3</v>
      </c>
      <c r="C936" s="4" t="inlineStr">
        <is>
          <t>whitetail</t>
        </is>
      </c>
      <c r="D936" s="4" t="n">
        <v>2024</v>
      </c>
      <c r="E936" s="5" t="n"/>
      <c r="F936" s="5" t="n"/>
      <c r="G936" s="5" t="n">
        <v>22</v>
      </c>
      <c r="H936" s="10">
        <f>IF(E936&gt;0,G936/E936,"")</f>
        <v/>
      </c>
      <c r="I936" s="11">
        <f>IF(AND(F936&gt;0,G936&gt;0),F936/G936,"")</f>
        <v/>
      </c>
    </row>
    <row r="937">
      <c r="A937" s="4" t="inlineStr">
        <is>
          <t>302</t>
        </is>
      </c>
      <c r="B937" s="4" t="n">
        <v>3</v>
      </c>
      <c r="C937" s="4" t="inlineStr">
        <is>
          <t>whitetail</t>
        </is>
      </c>
      <c r="D937" s="4" t="n">
        <v>2025</v>
      </c>
      <c r="E937" s="5" t="n">
        <v>960</v>
      </c>
      <c r="F937" s="5" t="n">
        <v>7112</v>
      </c>
      <c r="G937" s="5" t="n">
        <v>42</v>
      </c>
      <c r="H937" s="10">
        <f>IF(E937&gt;0,G937/E937,"")</f>
        <v/>
      </c>
      <c r="I937" s="11">
        <f>IF(AND(F937&gt;0,G937&gt;0),F937/G937,"")</f>
        <v/>
      </c>
    </row>
    <row r="938">
      <c r="A938" s="4" t="inlineStr">
        <is>
          <t>303</t>
        </is>
      </c>
      <c r="B938" s="4" t="n">
        <v>3</v>
      </c>
      <c r="C938" s="4" t="inlineStr">
        <is>
          <t>whitetail</t>
        </is>
      </c>
      <c r="D938" s="4" t="n">
        <v>2022</v>
      </c>
      <c r="E938" s="5" t="n"/>
      <c r="F938" s="5" t="n"/>
      <c r="G938" s="5" t="n">
        <v>9</v>
      </c>
      <c r="H938" s="10">
        <f>IF(E938&gt;0,G938/E938,"")</f>
        <v/>
      </c>
      <c r="I938" s="11">
        <f>IF(AND(F938&gt;0,G938&gt;0),F938/G938,"")</f>
        <v/>
      </c>
    </row>
    <row r="939">
      <c r="A939" s="4" t="inlineStr">
        <is>
          <t>303</t>
        </is>
      </c>
      <c r="B939" s="4" t="n">
        <v>3</v>
      </c>
      <c r="C939" s="4" t="inlineStr">
        <is>
          <t>whitetail</t>
        </is>
      </c>
      <c r="D939" s="4" t="n">
        <v>2023</v>
      </c>
      <c r="E939" s="5" t="n">
        <v>327</v>
      </c>
      <c r="F939" s="5" t="n">
        <v>2125</v>
      </c>
      <c r="G939" s="5" t="n">
        <v>25</v>
      </c>
      <c r="H939" s="10">
        <f>IF(E939&gt;0,G939/E939,"")</f>
        <v/>
      </c>
      <c r="I939" s="11">
        <f>IF(AND(F939&gt;0,G939&gt;0),F939/G939,"")</f>
        <v/>
      </c>
    </row>
    <row r="940">
      <c r="A940" s="4" t="inlineStr">
        <is>
          <t>303</t>
        </is>
      </c>
      <c r="B940" s="4" t="n">
        <v>3</v>
      </c>
      <c r="C940" s="4" t="inlineStr">
        <is>
          <t>whitetail</t>
        </is>
      </c>
      <c r="D940" s="4" t="n">
        <v>2024</v>
      </c>
      <c r="E940" s="5" t="n"/>
      <c r="F940" s="5" t="n"/>
      <c r="G940" s="5" t="n">
        <v>18</v>
      </c>
      <c r="H940" s="10">
        <f>IF(E940&gt;0,G940/E940,"")</f>
        <v/>
      </c>
      <c r="I940" s="11">
        <f>IF(AND(F940&gt;0,G940&gt;0),F940/G940,"")</f>
        <v/>
      </c>
    </row>
    <row r="941">
      <c r="A941" s="4" t="inlineStr">
        <is>
          <t>303</t>
        </is>
      </c>
      <c r="B941" s="4" t="n">
        <v>3</v>
      </c>
      <c r="C941" s="4" t="inlineStr">
        <is>
          <t>whitetail</t>
        </is>
      </c>
      <c r="D941" s="4" t="n">
        <v>2025</v>
      </c>
      <c r="E941" s="5" t="n">
        <v>348</v>
      </c>
      <c r="F941" s="5" t="n">
        <v>2477</v>
      </c>
      <c r="G941" s="5" t="n">
        <v>28</v>
      </c>
      <c r="H941" s="10">
        <f>IF(E941&gt;0,G941/E941,"")</f>
        <v/>
      </c>
      <c r="I941" s="11">
        <f>IF(AND(F941&gt;0,G941&gt;0),F941/G941,"")</f>
        <v/>
      </c>
    </row>
    <row r="942">
      <c r="A942" s="4" t="inlineStr">
        <is>
          <t>304</t>
        </is>
      </c>
      <c r="B942" s="4" t="n">
        <v>3</v>
      </c>
      <c r="C942" s="4" t="inlineStr">
        <is>
          <t>whitetail</t>
        </is>
      </c>
      <c r="D942" s="4" t="n">
        <v>2022</v>
      </c>
      <c r="E942" s="5" t="n"/>
      <c r="F942" s="5" t="n"/>
      <c r="G942" s="5" t="n">
        <v>73</v>
      </c>
      <c r="H942" s="10">
        <f>IF(E942&gt;0,G942/E942,"")</f>
        <v/>
      </c>
      <c r="I942" s="11">
        <f>IF(AND(F942&gt;0,G942&gt;0),F942/G942,"")</f>
        <v/>
      </c>
    </row>
    <row r="943">
      <c r="A943" s="4" t="inlineStr">
        <is>
          <t>304</t>
        </is>
      </c>
      <c r="B943" s="4" t="n">
        <v>3</v>
      </c>
      <c r="C943" s="4" t="inlineStr">
        <is>
          <t>whitetail</t>
        </is>
      </c>
      <c r="D943" s="4" t="n">
        <v>2023</v>
      </c>
      <c r="E943" s="5" t="n">
        <v>490</v>
      </c>
      <c r="F943" s="5" t="n">
        <v>2685</v>
      </c>
      <c r="G943" s="5" t="n">
        <v>105</v>
      </c>
      <c r="H943" s="10">
        <f>IF(E943&gt;0,G943/E943,"")</f>
        <v/>
      </c>
      <c r="I943" s="11">
        <f>IF(AND(F943&gt;0,G943&gt;0),F943/G943,"")</f>
        <v/>
      </c>
    </row>
    <row r="944">
      <c r="A944" s="4" t="inlineStr">
        <is>
          <t>304</t>
        </is>
      </c>
      <c r="B944" s="4" t="n">
        <v>3</v>
      </c>
      <c r="C944" s="4" t="inlineStr">
        <is>
          <t>whitetail</t>
        </is>
      </c>
      <c r="D944" s="4" t="n">
        <v>2024</v>
      </c>
      <c r="E944" s="5" t="n"/>
      <c r="F944" s="5" t="n"/>
      <c r="G944" s="5" t="n">
        <v>85</v>
      </c>
      <c r="H944" s="10">
        <f>IF(E944&gt;0,G944/E944,"")</f>
        <v/>
      </c>
      <c r="I944" s="11">
        <f>IF(AND(F944&gt;0,G944&gt;0),F944/G944,"")</f>
        <v/>
      </c>
    </row>
    <row r="945">
      <c r="A945" s="4" t="inlineStr">
        <is>
          <t>304</t>
        </is>
      </c>
      <c r="B945" s="4" t="n">
        <v>3</v>
      </c>
      <c r="C945" s="4" t="inlineStr">
        <is>
          <t>whitetail</t>
        </is>
      </c>
      <c r="D945" s="4" t="n">
        <v>2025</v>
      </c>
      <c r="E945" s="5" t="n">
        <v>462</v>
      </c>
      <c r="F945" s="5" t="n">
        <v>2772</v>
      </c>
      <c r="G945" s="5" t="n">
        <v>110</v>
      </c>
      <c r="H945" s="10">
        <f>IF(E945&gt;0,G945/E945,"")</f>
        <v/>
      </c>
      <c r="I945" s="11">
        <f>IF(AND(F945&gt;0,G945&gt;0),F945/G945,"")</f>
        <v/>
      </c>
    </row>
    <row r="946">
      <c r="A946" s="4" t="inlineStr">
        <is>
          <t>309</t>
        </is>
      </c>
      <c r="B946" s="4" t="n">
        <v>3</v>
      </c>
      <c r="C946" s="4" t="inlineStr">
        <is>
          <t>whitetail</t>
        </is>
      </c>
      <c r="D946" s="4" t="n">
        <v>2021</v>
      </c>
      <c r="E946" s="5" t="n">
        <v>764</v>
      </c>
      <c r="F946" s="5" t="n">
        <v>4932</v>
      </c>
      <c r="G946" s="5" t="n">
        <v>498</v>
      </c>
      <c r="H946" s="10">
        <f>IF(E946&gt;0,G946/E946,"")</f>
        <v/>
      </c>
      <c r="I946" s="11">
        <f>IF(AND(F946&gt;0,G946&gt;0),F946/G946,"")</f>
        <v/>
      </c>
    </row>
    <row r="947">
      <c r="A947" s="4" t="inlineStr">
        <is>
          <t>309</t>
        </is>
      </c>
      <c r="B947" s="4" t="n">
        <v>3</v>
      </c>
      <c r="C947" s="4" t="inlineStr">
        <is>
          <t>whitetail</t>
        </is>
      </c>
      <c r="D947" s="4" t="n">
        <v>2022</v>
      </c>
      <c r="E947" s="5" t="n"/>
      <c r="F947" s="5" t="n"/>
      <c r="G947" s="5" t="n">
        <v>488</v>
      </c>
      <c r="H947" s="10">
        <f>IF(E947&gt;0,G947/E947,"")</f>
        <v/>
      </c>
      <c r="I947" s="11">
        <f>IF(AND(F947&gt;0,G947&gt;0),F947/G947,"")</f>
        <v/>
      </c>
    </row>
    <row r="948">
      <c r="A948" s="4" t="inlineStr">
        <is>
          <t>309</t>
        </is>
      </c>
      <c r="B948" s="4" t="n">
        <v>3</v>
      </c>
      <c r="C948" s="4" t="inlineStr">
        <is>
          <t>whitetail</t>
        </is>
      </c>
      <c r="D948" s="4" t="n">
        <v>2023</v>
      </c>
      <c r="E948" s="5" t="n">
        <v>627</v>
      </c>
      <c r="F948" s="5" t="n">
        <v>4167</v>
      </c>
      <c r="G948" s="5" t="n">
        <v>398</v>
      </c>
      <c r="H948" s="10">
        <f>IF(E948&gt;0,G948/E948,"")</f>
        <v/>
      </c>
      <c r="I948" s="11">
        <f>IF(AND(F948&gt;0,G948&gt;0),F948/G948,"")</f>
        <v/>
      </c>
    </row>
    <row r="949">
      <c r="A949" s="4" t="inlineStr">
        <is>
          <t>309</t>
        </is>
      </c>
      <c r="B949" s="4" t="n">
        <v>3</v>
      </c>
      <c r="C949" s="4" t="inlineStr">
        <is>
          <t>whitetail</t>
        </is>
      </c>
      <c r="D949" s="4" t="n">
        <v>2024</v>
      </c>
      <c r="E949" s="5" t="n"/>
      <c r="F949" s="5" t="n"/>
      <c r="G949" s="5" t="n">
        <v>405</v>
      </c>
      <c r="H949" s="10">
        <f>IF(E949&gt;0,G949/E949,"")</f>
        <v/>
      </c>
      <c r="I949" s="11">
        <f>IF(AND(F949&gt;0,G949&gt;0),F949/G949,"")</f>
        <v/>
      </c>
    </row>
    <row r="950">
      <c r="A950" s="4" t="inlineStr">
        <is>
          <t>309</t>
        </is>
      </c>
      <c r="B950" s="4" t="n">
        <v>3</v>
      </c>
      <c r="C950" s="4" t="inlineStr">
        <is>
          <t>whitetail</t>
        </is>
      </c>
      <c r="D950" s="4" t="n">
        <v>2025</v>
      </c>
      <c r="E950" s="5" t="n">
        <v>802</v>
      </c>
      <c r="F950" s="5" t="n">
        <v>5389</v>
      </c>
      <c r="G950" s="5" t="n">
        <v>346</v>
      </c>
      <c r="H950" s="10">
        <f>IF(E950&gt;0,G950/E950,"")</f>
        <v/>
      </c>
      <c r="I950" s="11">
        <f>IF(AND(F950&gt;0,G950&gt;0),F950/G950,"")</f>
        <v/>
      </c>
    </row>
    <row r="951">
      <c r="A951" s="4" t="inlineStr">
        <is>
          <t>310</t>
        </is>
      </c>
      <c r="B951" s="4" t="n">
        <v>3</v>
      </c>
      <c r="C951" s="4" t="inlineStr">
        <is>
          <t>whitetail</t>
        </is>
      </c>
      <c r="D951" s="4" t="n">
        <v>2021</v>
      </c>
      <c r="E951" s="5" t="n">
        <v>295</v>
      </c>
      <c r="F951" s="5" t="n">
        <v>1884</v>
      </c>
      <c r="G951" s="5" t="n">
        <v>11</v>
      </c>
      <c r="H951" s="10">
        <f>IF(E951&gt;0,G951/E951,"")</f>
        <v/>
      </c>
      <c r="I951" s="11">
        <f>IF(AND(F951&gt;0,G951&gt;0),F951/G951,"")</f>
        <v/>
      </c>
    </row>
    <row r="952">
      <c r="A952" s="4" t="inlineStr">
        <is>
          <t>310</t>
        </is>
      </c>
      <c r="B952" s="4" t="n">
        <v>3</v>
      </c>
      <c r="C952" s="4" t="inlineStr">
        <is>
          <t>whitetail</t>
        </is>
      </c>
      <c r="D952" s="4" t="n">
        <v>2022</v>
      </c>
      <c r="E952" s="5" t="n"/>
      <c r="F952" s="5" t="n"/>
      <c r="G952" s="5" t="n">
        <v>25</v>
      </c>
      <c r="H952" s="10">
        <f>IF(E952&gt;0,G952/E952,"")</f>
        <v/>
      </c>
      <c r="I952" s="11">
        <f>IF(AND(F952&gt;0,G952&gt;0),F952/G952,"")</f>
        <v/>
      </c>
    </row>
    <row r="953">
      <c r="A953" s="4" t="inlineStr">
        <is>
          <t>310</t>
        </is>
      </c>
      <c r="B953" s="4" t="n">
        <v>3</v>
      </c>
      <c r="C953" s="4" t="inlineStr">
        <is>
          <t>whitetail</t>
        </is>
      </c>
      <c r="D953" s="4" t="n">
        <v>2023</v>
      </c>
      <c r="E953" s="5" t="n">
        <v>504</v>
      </c>
      <c r="F953" s="5" t="n">
        <v>3778</v>
      </c>
      <c r="G953" s="5" t="n">
        <v>36</v>
      </c>
      <c r="H953" s="10">
        <f>IF(E953&gt;0,G953/E953,"")</f>
        <v/>
      </c>
      <c r="I953" s="11">
        <f>IF(AND(F953&gt;0,G953&gt;0),F953/G953,"")</f>
        <v/>
      </c>
    </row>
    <row r="954">
      <c r="A954" s="4" t="inlineStr">
        <is>
          <t>310</t>
        </is>
      </c>
      <c r="B954" s="4" t="n">
        <v>3</v>
      </c>
      <c r="C954" s="4" t="inlineStr">
        <is>
          <t>whitetail</t>
        </is>
      </c>
      <c r="D954" s="4" t="n">
        <v>2024</v>
      </c>
      <c r="E954" s="5" t="n"/>
      <c r="F954" s="5" t="n"/>
      <c r="G954" s="5" t="n">
        <v>21</v>
      </c>
      <c r="H954" s="10">
        <f>IF(E954&gt;0,G954/E954,"")</f>
        <v/>
      </c>
      <c r="I954" s="11">
        <f>IF(AND(F954&gt;0,G954&gt;0),F954/G954,"")</f>
        <v/>
      </c>
    </row>
    <row r="955">
      <c r="A955" s="4" t="inlineStr">
        <is>
          <t>310</t>
        </is>
      </c>
      <c r="B955" s="4" t="n">
        <v>3</v>
      </c>
      <c r="C955" s="4" t="inlineStr">
        <is>
          <t>whitetail</t>
        </is>
      </c>
      <c r="D955" s="4" t="n">
        <v>2025</v>
      </c>
      <c r="E955" s="5" t="n">
        <v>527</v>
      </c>
      <c r="F955" s="5" t="n">
        <v>3514</v>
      </c>
      <c r="G955" s="5" t="n">
        <v>38</v>
      </c>
      <c r="H955" s="10">
        <f>IF(E955&gt;0,G955/E955,"")</f>
        <v/>
      </c>
      <c r="I955" s="11">
        <f>IF(AND(F955&gt;0,G955&gt;0),F955/G955,"")</f>
        <v/>
      </c>
    </row>
    <row r="956">
      <c r="A956" s="4" t="inlineStr">
        <is>
          <t>311</t>
        </is>
      </c>
      <c r="B956" s="4" t="n">
        <v>3</v>
      </c>
      <c r="C956" s="4" t="inlineStr">
        <is>
          <t>whitetail</t>
        </is>
      </c>
      <c r="D956" s="4" t="n">
        <v>2021</v>
      </c>
      <c r="E956" s="5" t="n">
        <v>1928</v>
      </c>
      <c r="F956" s="5" t="n">
        <v>12380</v>
      </c>
      <c r="G956" s="5" t="n">
        <v>697</v>
      </c>
      <c r="H956" s="10">
        <f>IF(E956&gt;0,G956/E956,"")</f>
        <v/>
      </c>
      <c r="I956" s="11">
        <f>IF(AND(F956&gt;0,G956&gt;0),F956/G956,"")</f>
        <v/>
      </c>
    </row>
    <row r="957">
      <c r="A957" s="4" t="inlineStr">
        <is>
          <t>311</t>
        </is>
      </c>
      <c r="B957" s="4" t="n">
        <v>3</v>
      </c>
      <c r="C957" s="4" t="inlineStr">
        <is>
          <t>whitetail</t>
        </is>
      </c>
      <c r="D957" s="4" t="n">
        <v>2022</v>
      </c>
      <c r="E957" s="5" t="n"/>
      <c r="F957" s="5" t="n"/>
      <c r="G957" s="5" t="n">
        <v>629</v>
      </c>
      <c r="H957" s="10">
        <f>IF(E957&gt;0,G957/E957,"")</f>
        <v/>
      </c>
      <c r="I957" s="11">
        <f>IF(AND(F957&gt;0,G957&gt;0),F957/G957,"")</f>
        <v/>
      </c>
    </row>
    <row r="958">
      <c r="A958" s="4" t="inlineStr">
        <is>
          <t>311</t>
        </is>
      </c>
      <c r="B958" s="4" t="n">
        <v>3</v>
      </c>
      <c r="C958" s="4" t="inlineStr">
        <is>
          <t>whitetail</t>
        </is>
      </c>
      <c r="D958" s="4" t="n">
        <v>2023</v>
      </c>
      <c r="E958" s="5" t="n">
        <v>1596</v>
      </c>
      <c r="F958" s="5" t="n">
        <v>9556</v>
      </c>
      <c r="G958" s="5" t="n">
        <v>648</v>
      </c>
      <c r="H958" s="10">
        <f>IF(E958&gt;0,G958/E958,"")</f>
        <v/>
      </c>
      <c r="I958" s="11">
        <f>IF(AND(F958&gt;0,G958&gt;0),F958/G958,"")</f>
        <v/>
      </c>
    </row>
    <row r="959">
      <c r="A959" s="4" t="inlineStr">
        <is>
          <t>311</t>
        </is>
      </c>
      <c r="B959" s="4" t="n">
        <v>3</v>
      </c>
      <c r="C959" s="4" t="inlineStr">
        <is>
          <t>whitetail</t>
        </is>
      </c>
      <c r="D959" s="4" t="n">
        <v>2024</v>
      </c>
      <c r="E959" s="5" t="n"/>
      <c r="F959" s="5" t="n"/>
      <c r="G959" s="5" t="n">
        <v>692</v>
      </c>
      <c r="H959" s="10">
        <f>IF(E959&gt;0,G959/E959,"")</f>
        <v/>
      </c>
      <c r="I959" s="11">
        <f>IF(AND(F959&gt;0,G959&gt;0),F959/G959,"")</f>
        <v/>
      </c>
    </row>
    <row r="960">
      <c r="A960" s="4" t="inlineStr">
        <is>
          <t>311</t>
        </is>
      </c>
      <c r="B960" s="4" t="n">
        <v>3</v>
      </c>
      <c r="C960" s="4" t="inlineStr">
        <is>
          <t>whitetail</t>
        </is>
      </c>
      <c r="D960" s="4" t="n">
        <v>2025</v>
      </c>
      <c r="E960" s="5" t="n">
        <v>1633</v>
      </c>
      <c r="F960" s="5" t="n">
        <v>9458</v>
      </c>
      <c r="G960" s="5" t="n">
        <v>653</v>
      </c>
      <c r="H960" s="10">
        <f>IF(E960&gt;0,G960/E960,"")</f>
        <v/>
      </c>
      <c r="I960" s="11">
        <f>IF(AND(F960&gt;0,G960&gt;0),F960/G960,"")</f>
        <v/>
      </c>
    </row>
    <row r="961">
      <c r="A961" s="4" t="inlineStr">
        <is>
          <t>312</t>
        </is>
      </c>
      <c r="B961" s="4" t="n">
        <v>3</v>
      </c>
      <c r="C961" s="4" t="inlineStr">
        <is>
          <t>whitetail</t>
        </is>
      </c>
      <c r="D961" s="4" t="n">
        <v>2021</v>
      </c>
      <c r="E961" s="5" t="n">
        <v>1341</v>
      </c>
      <c r="F961" s="5" t="n">
        <v>7253</v>
      </c>
      <c r="G961" s="5" t="n">
        <v>486</v>
      </c>
      <c r="H961" s="10">
        <f>IF(E961&gt;0,G961/E961,"")</f>
        <v/>
      </c>
      <c r="I961" s="11">
        <f>IF(AND(F961&gt;0,G961&gt;0),F961/G961,"")</f>
        <v/>
      </c>
    </row>
    <row r="962">
      <c r="A962" s="4" t="inlineStr">
        <is>
          <t>312</t>
        </is>
      </c>
      <c r="B962" s="4" t="n">
        <v>3</v>
      </c>
      <c r="C962" s="4" t="inlineStr">
        <is>
          <t>whitetail</t>
        </is>
      </c>
      <c r="D962" s="4" t="n">
        <v>2022</v>
      </c>
      <c r="E962" s="5" t="n"/>
      <c r="F962" s="5" t="n"/>
      <c r="G962" s="5" t="n">
        <v>503</v>
      </c>
      <c r="H962" s="10">
        <f>IF(E962&gt;0,G962/E962,"")</f>
        <v/>
      </c>
      <c r="I962" s="11">
        <f>IF(AND(F962&gt;0,G962&gt;0),F962/G962,"")</f>
        <v/>
      </c>
    </row>
    <row r="963">
      <c r="A963" s="4" t="inlineStr">
        <is>
          <t>312</t>
        </is>
      </c>
      <c r="B963" s="4" t="n">
        <v>3</v>
      </c>
      <c r="C963" s="4" t="inlineStr">
        <is>
          <t>whitetail</t>
        </is>
      </c>
      <c r="D963" s="4" t="n">
        <v>2023</v>
      </c>
      <c r="E963" s="5" t="n">
        <v>1471</v>
      </c>
      <c r="F963" s="5" t="n">
        <v>8723</v>
      </c>
      <c r="G963" s="5" t="n">
        <v>370</v>
      </c>
      <c r="H963" s="10">
        <f>IF(E963&gt;0,G963/E963,"")</f>
        <v/>
      </c>
      <c r="I963" s="11">
        <f>IF(AND(F963&gt;0,G963&gt;0),F963/G963,"")</f>
        <v/>
      </c>
    </row>
    <row r="964">
      <c r="A964" s="4" t="inlineStr">
        <is>
          <t>312</t>
        </is>
      </c>
      <c r="B964" s="4" t="n">
        <v>3</v>
      </c>
      <c r="C964" s="4" t="inlineStr">
        <is>
          <t>whitetail</t>
        </is>
      </c>
      <c r="D964" s="4" t="n">
        <v>2024</v>
      </c>
      <c r="E964" s="5" t="n"/>
      <c r="F964" s="5" t="n"/>
      <c r="G964" s="5" t="n">
        <v>535</v>
      </c>
      <c r="H964" s="10">
        <f>IF(E964&gt;0,G964/E964,"")</f>
        <v/>
      </c>
      <c r="I964" s="11">
        <f>IF(AND(F964&gt;0,G964&gt;0),F964/G964,"")</f>
        <v/>
      </c>
    </row>
    <row r="965">
      <c r="A965" s="4" t="inlineStr">
        <is>
          <t>312</t>
        </is>
      </c>
      <c r="B965" s="4" t="n">
        <v>3</v>
      </c>
      <c r="C965" s="4" t="inlineStr">
        <is>
          <t>whitetail</t>
        </is>
      </c>
      <c r="D965" s="4" t="n">
        <v>2025</v>
      </c>
      <c r="E965" s="5" t="n">
        <v>1459</v>
      </c>
      <c r="F965" s="5" t="n">
        <v>8909</v>
      </c>
      <c r="G965" s="5" t="n">
        <v>417</v>
      </c>
      <c r="H965" s="10">
        <f>IF(E965&gt;0,G965/E965,"")</f>
        <v/>
      </c>
      <c r="I965" s="11">
        <f>IF(AND(F965&gt;0,G965&gt;0),F965/G965,"")</f>
        <v/>
      </c>
    </row>
    <row r="966">
      <c r="A966" s="4" t="inlineStr">
        <is>
          <t>313</t>
        </is>
      </c>
      <c r="B966" s="4" t="n">
        <v>3</v>
      </c>
      <c r="C966" s="4" t="inlineStr">
        <is>
          <t>whitetail</t>
        </is>
      </c>
      <c r="D966" s="4" t="n">
        <v>2021</v>
      </c>
      <c r="E966" s="5" t="n">
        <v>733</v>
      </c>
      <c r="F966" s="5" t="n">
        <v>4594</v>
      </c>
      <c r="G966" s="5" t="n">
        <v>27</v>
      </c>
      <c r="H966" s="10">
        <f>IF(E966&gt;0,G966/E966,"")</f>
        <v/>
      </c>
      <c r="I966" s="11">
        <f>IF(AND(F966&gt;0,G966&gt;0),F966/G966,"")</f>
        <v/>
      </c>
    </row>
    <row r="967">
      <c r="A967" s="4" t="inlineStr">
        <is>
          <t>313</t>
        </is>
      </c>
      <c r="B967" s="4" t="n">
        <v>3</v>
      </c>
      <c r="C967" s="4" t="inlineStr">
        <is>
          <t>whitetail</t>
        </is>
      </c>
      <c r="D967" s="4" t="n">
        <v>2022</v>
      </c>
      <c r="E967" s="5" t="n"/>
      <c r="F967" s="5" t="n"/>
      <c r="G967" s="5" t="n">
        <v>37</v>
      </c>
      <c r="H967" s="10">
        <f>IF(E967&gt;0,G967/E967,"")</f>
        <v/>
      </c>
      <c r="I967" s="11">
        <f>IF(AND(F967&gt;0,G967&gt;0),F967/G967,"")</f>
        <v/>
      </c>
    </row>
    <row r="968">
      <c r="A968" s="4" t="inlineStr">
        <is>
          <t>313</t>
        </is>
      </c>
      <c r="B968" s="4" t="n">
        <v>3</v>
      </c>
      <c r="C968" s="4" t="inlineStr">
        <is>
          <t>whitetail</t>
        </is>
      </c>
      <c r="D968" s="4" t="n">
        <v>2023</v>
      </c>
      <c r="E968" s="5" t="n">
        <v>633</v>
      </c>
      <c r="F968" s="5" t="n">
        <v>4776</v>
      </c>
      <c r="G968" s="5" t="n">
        <v>35</v>
      </c>
      <c r="H968" s="10">
        <f>IF(E968&gt;0,G968/E968,"")</f>
        <v/>
      </c>
      <c r="I968" s="11">
        <f>IF(AND(F968&gt;0,G968&gt;0),F968/G968,"")</f>
        <v/>
      </c>
    </row>
    <row r="969">
      <c r="A969" s="4" t="inlineStr">
        <is>
          <t>313</t>
        </is>
      </c>
      <c r="B969" s="4" t="n">
        <v>3</v>
      </c>
      <c r="C969" s="4" t="inlineStr">
        <is>
          <t>whitetail</t>
        </is>
      </c>
      <c r="D969" s="4" t="n">
        <v>2024</v>
      </c>
      <c r="E969" s="5" t="n"/>
      <c r="F969" s="5" t="n"/>
      <c r="G969" s="5" t="n">
        <v>24</v>
      </c>
      <c r="H969" s="10">
        <f>IF(E969&gt;0,G969/E969,"")</f>
        <v/>
      </c>
      <c r="I969" s="11">
        <f>IF(AND(F969&gt;0,G969&gt;0),F969/G969,"")</f>
        <v/>
      </c>
    </row>
    <row r="970">
      <c r="A970" s="4" t="inlineStr">
        <is>
          <t>313</t>
        </is>
      </c>
      <c r="B970" s="4" t="n">
        <v>3</v>
      </c>
      <c r="C970" s="4" t="inlineStr">
        <is>
          <t>whitetail</t>
        </is>
      </c>
      <c r="D970" s="4" t="n">
        <v>2025</v>
      </c>
      <c r="E970" s="5" t="n">
        <v>810</v>
      </c>
      <c r="F970" s="5" t="n">
        <v>5205</v>
      </c>
      <c r="G970" s="5" t="n">
        <v>50</v>
      </c>
      <c r="H970" s="10">
        <f>IF(E970&gt;0,G970/E970,"")</f>
        <v/>
      </c>
      <c r="I970" s="11">
        <f>IF(AND(F970&gt;0,G970&gt;0),F970/G970,"")</f>
        <v/>
      </c>
    </row>
    <row r="971">
      <c r="A971" s="4" t="inlineStr">
        <is>
          <t>314</t>
        </is>
      </c>
      <c r="B971" s="4" t="n">
        <v>3</v>
      </c>
      <c r="C971" s="4" t="inlineStr">
        <is>
          <t>whitetail</t>
        </is>
      </c>
      <c r="D971" s="4" t="n">
        <v>2021</v>
      </c>
      <c r="E971" s="5" t="n">
        <v>1456</v>
      </c>
      <c r="F971" s="5" t="n">
        <v>9056</v>
      </c>
      <c r="G971" s="5" t="n">
        <v>224</v>
      </c>
      <c r="H971" s="10">
        <f>IF(E971&gt;0,G971/E971,"")</f>
        <v/>
      </c>
      <c r="I971" s="11">
        <f>IF(AND(F971&gt;0,G971&gt;0),F971/G971,"")</f>
        <v/>
      </c>
    </row>
    <row r="972">
      <c r="A972" s="4" t="inlineStr">
        <is>
          <t>314</t>
        </is>
      </c>
      <c r="B972" s="4" t="n">
        <v>3</v>
      </c>
      <c r="C972" s="4" t="inlineStr">
        <is>
          <t>whitetail</t>
        </is>
      </c>
      <c r="D972" s="4" t="n">
        <v>2022</v>
      </c>
      <c r="E972" s="5" t="n"/>
      <c r="F972" s="5" t="n"/>
      <c r="G972" s="5" t="n">
        <v>207</v>
      </c>
      <c r="H972" s="10">
        <f>IF(E972&gt;0,G972/E972,"")</f>
        <v/>
      </c>
      <c r="I972" s="11">
        <f>IF(AND(F972&gt;0,G972&gt;0),F972/G972,"")</f>
        <v/>
      </c>
    </row>
    <row r="973">
      <c r="A973" s="4" t="inlineStr">
        <is>
          <t>314</t>
        </is>
      </c>
      <c r="B973" s="4" t="n">
        <v>3</v>
      </c>
      <c r="C973" s="4" t="inlineStr">
        <is>
          <t>whitetail</t>
        </is>
      </c>
      <c r="D973" s="4" t="n">
        <v>2023</v>
      </c>
      <c r="E973" s="5" t="n">
        <v>1382</v>
      </c>
      <c r="F973" s="5" t="n">
        <v>8934</v>
      </c>
      <c r="G973" s="5" t="n">
        <v>214</v>
      </c>
      <c r="H973" s="10">
        <f>IF(E973&gt;0,G973/E973,"")</f>
        <v/>
      </c>
      <c r="I973" s="11">
        <f>IF(AND(F973&gt;0,G973&gt;0),F973/G973,"")</f>
        <v/>
      </c>
    </row>
    <row r="974">
      <c r="A974" s="4" t="inlineStr">
        <is>
          <t>314</t>
        </is>
      </c>
      <c r="B974" s="4" t="n">
        <v>3</v>
      </c>
      <c r="C974" s="4" t="inlineStr">
        <is>
          <t>whitetail</t>
        </is>
      </c>
      <c r="D974" s="4" t="n">
        <v>2024</v>
      </c>
      <c r="E974" s="5" t="n"/>
      <c r="F974" s="5" t="n"/>
      <c r="G974" s="5" t="n">
        <v>238</v>
      </c>
      <c r="H974" s="10">
        <f>IF(E974&gt;0,G974/E974,"")</f>
        <v/>
      </c>
      <c r="I974" s="11">
        <f>IF(AND(F974&gt;0,G974&gt;0),F974/G974,"")</f>
        <v/>
      </c>
    </row>
    <row r="975">
      <c r="A975" s="4" t="inlineStr">
        <is>
          <t>314</t>
        </is>
      </c>
      <c r="B975" s="4" t="n">
        <v>3</v>
      </c>
      <c r="C975" s="4" t="inlineStr">
        <is>
          <t>whitetail</t>
        </is>
      </c>
      <c r="D975" s="4" t="n">
        <v>2025</v>
      </c>
      <c r="E975" s="5" t="n">
        <v>1401</v>
      </c>
      <c r="F975" s="5" t="n">
        <v>8661</v>
      </c>
      <c r="G975" s="5" t="n">
        <v>282</v>
      </c>
      <c r="H975" s="10">
        <f>IF(E975&gt;0,G975/E975,"")</f>
        <v/>
      </c>
      <c r="I975" s="11">
        <f>IF(AND(F975&gt;0,G975&gt;0),F975/G975,"")</f>
        <v/>
      </c>
    </row>
    <row r="976">
      <c r="A976" s="4" t="inlineStr">
        <is>
          <t>315</t>
        </is>
      </c>
      <c r="B976" s="4" t="n">
        <v>3</v>
      </c>
      <c r="C976" s="4" t="inlineStr">
        <is>
          <t>whitetail</t>
        </is>
      </c>
      <c r="D976" s="4" t="n">
        <v>2021</v>
      </c>
      <c r="E976" s="5" t="n">
        <v>1338</v>
      </c>
      <c r="F976" s="5" t="n">
        <v>8170</v>
      </c>
      <c r="G976" s="5" t="n">
        <v>400</v>
      </c>
      <c r="H976" s="10">
        <f>IF(E976&gt;0,G976/E976,"")</f>
        <v/>
      </c>
      <c r="I976" s="11">
        <f>IF(AND(F976&gt;0,G976&gt;0),F976/G976,"")</f>
        <v/>
      </c>
    </row>
    <row r="977">
      <c r="A977" s="4" t="inlineStr">
        <is>
          <t>315</t>
        </is>
      </c>
      <c r="B977" s="4" t="n">
        <v>3</v>
      </c>
      <c r="C977" s="4" t="inlineStr">
        <is>
          <t>whitetail</t>
        </is>
      </c>
      <c r="D977" s="4" t="n">
        <v>2022</v>
      </c>
      <c r="E977" s="5" t="n"/>
      <c r="F977" s="5" t="n"/>
      <c r="G977" s="5" t="n">
        <v>379</v>
      </c>
      <c r="H977" s="10">
        <f>IF(E977&gt;0,G977/E977,"")</f>
        <v/>
      </c>
      <c r="I977" s="11">
        <f>IF(AND(F977&gt;0,G977&gt;0),F977/G977,"")</f>
        <v/>
      </c>
    </row>
    <row r="978">
      <c r="A978" s="4" t="inlineStr">
        <is>
          <t>315</t>
        </is>
      </c>
      <c r="B978" s="4" t="n">
        <v>3</v>
      </c>
      <c r="C978" s="4" t="inlineStr">
        <is>
          <t>whitetail</t>
        </is>
      </c>
      <c r="D978" s="4" t="n">
        <v>2023</v>
      </c>
      <c r="E978" s="5" t="n">
        <v>1482</v>
      </c>
      <c r="F978" s="5" t="n">
        <v>8395</v>
      </c>
      <c r="G978" s="5" t="n">
        <v>389</v>
      </c>
      <c r="H978" s="10">
        <f>IF(E978&gt;0,G978/E978,"")</f>
        <v/>
      </c>
      <c r="I978" s="11">
        <f>IF(AND(F978&gt;0,G978&gt;0),F978/G978,"")</f>
        <v/>
      </c>
    </row>
    <row r="979">
      <c r="A979" s="4" t="inlineStr">
        <is>
          <t>315</t>
        </is>
      </c>
      <c r="B979" s="4" t="n">
        <v>3</v>
      </c>
      <c r="C979" s="4" t="inlineStr">
        <is>
          <t>whitetail</t>
        </is>
      </c>
      <c r="D979" s="4" t="n">
        <v>2024</v>
      </c>
      <c r="E979" s="5" t="n"/>
      <c r="F979" s="5" t="n"/>
      <c r="G979" s="5" t="n">
        <v>381</v>
      </c>
      <c r="H979" s="10">
        <f>IF(E979&gt;0,G979/E979,"")</f>
        <v/>
      </c>
      <c r="I979" s="11">
        <f>IF(AND(F979&gt;0,G979&gt;0),F979/G979,"")</f>
        <v/>
      </c>
    </row>
    <row r="980">
      <c r="A980" s="4" t="inlineStr">
        <is>
          <t>315</t>
        </is>
      </c>
      <c r="B980" s="4" t="n">
        <v>3</v>
      </c>
      <c r="C980" s="4" t="inlineStr">
        <is>
          <t>whitetail</t>
        </is>
      </c>
      <c r="D980" s="4" t="n">
        <v>2025</v>
      </c>
      <c r="E980" s="5" t="n">
        <v>1587</v>
      </c>
      <c r="F980" s="5" t="n">
        <v>10277</v>
      </c>
      <c r="G980" s="5" t="n">
        <v>315</v>
      </c>
      <c r="H980" s="10">
        <f>IF(E980&gt;0,G980/E980,"")</f>
        <v/>
      </c>
      <c r="I980" s="11">
        <f>IF(AND(F980&gt;0,G980&gt;0),F980/G980,"")</f>
        <v/>
      </c>
    </row>
    <row r="981">
      <c r="A981" s="4" t="inlineStr">
        <is>
          <t>316</t>
        </is>
      </c>
      <c r="B981" s="4" t="n">
        <v>3</v>
      </c>
      <c r="C981" s="4" t="inlineStr">
        <is>
          <t>whitetail</t>
        </is>
      </c>
      <c r="D981" s="4" t="n">
        <v>2022</v>
      </c>
      <c r="E981" s="5" t="n"/>
      <c r="F981" s="5" t="n"/>
      <c r="G981" s="5" t="n">
        <v>12</v>
      </c>
      <c r="H981" s="10">
        <f>IF(E981&gt;0,G981/E981,"")</f>
        <v/>
      </c>
      <c r="I981" s="11">
        <f>IF(AND(F981&gt;0,G981&gt;0),F981/G981,"")</f>
        <v/>
      </c>
    </row>
    <row r="982">
      <c r="A982" s="4" t="inlineStr">
        <is>
          <t>316</t>
        </is>
      </c>
      <c r="B982" s="4" t="n">
        <v>3</v>
      </c>
      <c r="C982" s="4" t="inlineStr">
        <is>
          <t>whitetail</t>
        </is>
      </c>
      <c r="D982" s="4" t="n">
        <v>2023</v>
      </c>
      <c r="E982" s="5" t="n">
        <v>143</v>
      </c>
      <c r="F982" s="5" t="n">
        <v>857</v>
      </c>
      <c r="G982" s="5" t="n">
        <v>6</v>
      </c>
      <c r="H982" s="10">
        <f>IF(E982&gt;0,G982/E982,"")</f>
        <v/>
      </c>
      <c r="I982" s="11">
        <f>IF(AND(F982&gt;0,G982&gt;0),F982/G982,"")</f>
        <v/>
      </c>
    </row>
    <row r="983">
      <c r="A983" s="4" t="inlineStr">
        <is>
          <t>316</t>
        </is>
      </c>
      <c r="B983" s="4" t="n">
        <v>3</v>
      </c>
      <c r="C983" s="4" t="inlineStr">
        <is>
          <t>whitetail</t>
        </is>
      </c>
      <c r="D983" s="4" t="n">
        <v>2024</v>
      </c>
      <c r="E983" s="5" t="n"/>
      <c r="F983" s="5" t="n"/>
      <c r="G983" s="5" t="n">
        <v>6</v>
      </c>
      <c r="H983" s="10">
        <f>IF(E983&gt;0,G983/E983,"")</f>
        <v/>
      </c>
      <c r="I983" s="11">
        <f>IF(AND(F983&gt;0,G983&gt;0),F983/G983,"")</f>
        <v/>
      </c>
    </row>
    <row r="984">
      <c r="A984" s="4" t="inlineStr">
        <is>
          <t>316</t>
        </is>
      </c>
      <c r="B984" s="4" t="n">
        <v>3</v>
      </c>
      <c r="C984" s="4" t="inlineStr">
        <is>
          <t>whitetail</t>
        </is>
      </c>
      <c r="D984" s="4" t="n">
        <v>2025</v>
      </c>
      <c r="E984" s="5" t="n">
        <v>185</v>
      </c>
      <c r="F984" s="5" t="n">
        <v>1102</v>
      </c>
      <c r="G984" s="5" t="n">
        <v>3</v>
      </c>
      <c r="H984" s="10">
        <f>IF(E984&gt;0,G984/E984,"")</f>
        <v/>
      </c>
      <c r="I984" s="11">
        <f>IF(AND(F984&gt;0,G984&gt;0),F984/G984,"")</f>
        <v/>
      </c>
    </row>
    <row r="985">
      <c r="A985" s="4" t="inlineStr">
        <is>
          <t>317</t>
        </is>
      </c>
      <c r="B985" s="4" t="n">
        <v>3</v>
      </c>
      <c r="C985" s="4" t="inlineStr">
        <is>
          <t>whitetail</t>
        </is>
      </c>
      <c r="D985" s="4" t="n">
        <v>2021</v>
      </c>
      <c r="E985" s="5" t="n">
        <v>1278</v>
      </c>
      <c r="F985" s="5" t="n">
        <v>7779</v>
      </c>
      <c r="G985" s="5" t="n">
        <v>478</v>
      </c>
      <c r="H985" s="10">
        <f>IF(E985&gt;0,G985/E985,"")</f>
        <v/>
      </c>
      <c r="I985" s="11">
        <f>IF(AND(F985&gt;0,G985&gt;0),F985/G985,"")</f>
        <v/>
      </c>
    </row>
    <row r="986">
      <c r="A986" s="4" t="inlineStr">
        <is>
          <t>317</t>
        </is>
      </c>
      <c r="B986" s="4" t="n">
        <v>3</v>
      </c>
      <c r="C986" s="4" t="inlineStr">
        <is>
          <t>whitetail</t>
        </is>
      </c>
      <c r="D986" s="4" t="n">
        <v>2022</v>
      </c>
      <c r="E986" s="5" t="n"/>
      <c r="F986" s="5" t="n"/>
      <c r="G986" s="5" t="n">
        <v>424</v>
      </c>
      <c r="H986" s="10">
        <f>IF(E986&gt;0,G986/E986,"")</f>
        <v/>
      </c>
      <c r="I986" s="11">
        <f>IF(AND(F986&gt;0,G986&gt;0),F986/G986,"")</f>
        <v/>
      </c>
    </row>
    <row r="987">
      <c r="A987" s="4" t="inlineStr">
        <is>
          <t>317</t>
        </is>
      </c>
      <c r="B987" s="4" t="n">
        <v>3</v>
      </c>
      <c r="C987" s="4" t="inlineStr">
        <is>
          <t>whitetail</t>
        </is>
      </c>
      <c r="D987" s="4" t="n">
        <v>2023</v>
      </c>
      <c r="E987" s="5" t="n">
        <v>1271</v>
      </c>
      <c r="F987" s="5" t="n">
        <v>7606</v>
      </c>
      <c r="G987" s="5" t="n">
        <v>417</v>
      </c>
      <c r="H987" s="10">
        <f>IF(E987&gt;0,G987/E987,"")</f>
        <v/>
      </c>
      <c r="I987" s="11">
        <f>IF(AND(F987&gt;0,G987&gt;0),F987/G987,"")</f>
        <v/>
      </c>
    </row>
    <row r="988">
      <c r="A988" s="4" t="inlineStr">
        <is>
          <t>317</t>
        </is>
      </c>
      <c r="B988" s="4" t="n">
        <v>3</v>
      </c>
      <c r="C988" s="4" t="inlineStr">
        <is>
          <t>whitetail</t>
        </is>
      </c>
      <c r="D988" s="4" t="n">
        <v>2024</v>
      </c>
      <c r="E988" s="5" t="n"/>
      <c r="F988" s="5" t="n"/>
      <c r="G988" s="5" t="n">
        <v>451</v>
      </c>
      <c r="H988" s="10">
        <f>IF(E988&gt;0,G988/E988,"")</f>
        <v/>
      </c>
      <c r="I988" s="11">
        <f>IF(AND(F988&gt;0,G988&gt;0),F988/G988,"")</f>
        <v/>
      </c>
    </row>
    <row r="989">
      <c r="A989" s="4" t="inlineStr">
        <is>
          <t>317</t>
        </is>
      </c>
      <c r="B989" s="4" t="n">
        <v>3</v>
      </c>
      <c r="C989" s="4" t="inlineStr">
        <is>
          <t>whitetail</t>
        </is>
      </c>
      <c r="D989" s="4" t="n">
        <v>2025</v>
      </c>
      <c r="E989" s="5" t="n">
        <v>1116</v>
      </c>
      <c r="F989" s="5" t="n">
        <v>7569</v>
      </c>
      <c r="G989" s="5" t="n">
        <v>332</v>
      </c>
      <c r="H989" s="10">
        <f>IF(E989&gt;0,G989/E989,"")</f>
        <v/>
      </c>
      <c r="I989" s="11">
        <f>IF(AND(F989&gt;0,G989&gt;0),F989/G989,"")</f>
        <v/>
      </c>
    </row>
    <row r="990">
      <c r="A990" s="4" t="inlineStr">
        <is>
          <t>318</t>
        </is>
      </c>
      <c r="B990" s="4" t="n">
        <v>3</v>
      </c>
      <c r="C990" s="4" t="inlineStr">
        <is>
          <t>whitetail</t>
        </is>
      </c>
      <c r="D990" s="4" t="n">
        <v>2021</v>
      </c>
      <c r="E990" s="5" t="n">
        <v>597</v>
      </c>
      <c r="F990" s="5" t="n">
        <v>5217</v>
      </c>
      <c r="G990" s="5" t="n">
        <v>21</v>
      </c>
      <c r="H990" s="10">
        <f>IF(E990&gt;0,G990/E990,"")</f>
        <v/>
      </c>
      <c r="I990" s="11">
        <f>IF(AND(F990&gt;0,G990&gt;0),F990/G990,"")</f>
        <v/>
      </c>
    </row>
    <row r="991">
      <c r="A991" s="4" t="inlineStr">
        <is>
          <t>318</t>
        </is>
      </c>
      <c r="B991" s="4" t="n">
        <v>3</v>
      </c>
      <c r="C991" s="4" t="inlineStr">
        <is>
          <t>whitetail</t>
        </is>
      </c>
      <c r="D991" s="4" t="n">
        <v>2022</v>
      </c>
      <c r="E991" s="5" t="n"/>
      <c r="F991" s="5" t="n"/>
      <c r="G991" s="5" t="n">
        <v>20</v>
      </c>
      <c r="H991" s="10">
        <f>IF(E991&gt;0,G991/E991,"")</f>
        <v/>
      </c>
      <c r="I991" s="11">
        <f>IF(AND(F991&gt;0,G991&gt;0),F991/G991,"")</f>
        <v/>
      </c>
    </row>
    <row r="992">
      <c r="A992" s="4" t="inlineStr">
        <is>
          <t>318</t>
        </is>
      </c>
      <c r="B992" s="4" t="n">
        <v>3</v>
      </c>
      <c r="C992" s="4" t="inlineStr">
        <is>
          <t>whitetail</t>
        </is>
      </c>
      <c r="D992" s="4" t="n">
        <v>2023</v>
      </c>
      <c r="E992" s="5" t="n">
        <v>654</v>
      </c>
      <c r="F992" s="5" t="n">
        <v>4896</v>
      </c>
      <c r="G992" s="5" t="n">
        <v>20</v>
      </c>
      <c r="H992" s="10">
        <f>IF(E992&gt;0,G992/E992,"")</f>
        <v/>
      </c>
      <c r="I992" s="11">
        <f>IF(AND(F992&gt;0,G992&gt;0),F992/G992,"")</f>
        <v/>
      </c>
    </row>
    <row r="993">
      <c r="A993" s="4" t="inlineStr">
        <is>
          <t>318</t>
        </is>
      </c>
      <c r="B993" s="4" t="n">
        <v>3</v>
      </c>
      <c r="C993" s="4" t="inlineStr">
        <is>
          <t>whitetail</t>
        </is>
      </c>
      <c r="D993" s="4" t="n">
        <v>2024</v>
      </c>
      <c r="E993" s="5" t="n"/>
      <c r="F993" s="5" t="n"/>
      <c r="G993" s="5" t="n">
        <v>12</v>
      </c>
      <c r="H993" s="10">
        <f>IF(E993&gt;0,G993/E993,"")</f>
        <v/>
      </c>
      <c r="I993" s="11">
        <f>IF(AND(F993&gt;0,G993&gt;0),F993/G993,"")</f>
        <v/>
      </c>
    </row>
    <row r="994">
      <c r="A994" s="4" t="inlineStr">
        <is>
          <t>318</t>
        </is>
      </c>
      <c r="B994" s="4" t="n">
        <v>3</v>
      </c>
      <c r="C994" s="4" t="inlineStr">
        <is>
          <t>whitetail</t>
        </is>
      </c>
      <c r="D994" s="4" t="n">
        <v>2025</v>
      </c>
      <c r="E994" s="5" t="n">
        <v>696</v>
      </c>
      <c r="F994" s="5" t="n">
        <v>7052</v>
      </c>
      <c r="G994" s="5" t="n">
        <v>21</v>
      </c>
      <c r="H994" s="10">
        <f>IF(E994&gt;0,G994/E994,"")</f>
        <v/>
      </c>
      <c r="I994" s="11">
        <f>IF(AND(F994&gt;0,G994&gt;0),F994/G994,"")</f>
        <v/>
      </c>
    </row>
    <row r="995">
      <c r="A995" s="4" t="inlineStr">
        <is>
          <t>319</t>
        </is>
      </c>
      <c r="B995" s="4" t="n">
        <v>3</v>
      </c>
      <c r="C995" s="4" t="inlineStr">
        <is>
          <t>whitetail</t>
        </is>
      </c>
      <c r="D995" s="4" t="n">
        <v>2021</v>
      </c>
      <c r="E995" s="5" t="n">
        <v>379</v>
      </c>
      <c r="F995" s="5" t="n">
        <v>2971</v>
      </c>
      <c r="G995" s="5" t="n">
        <v>19</v>
      </c>
      <c r="H995" s="10">
        <f>IF(E995&gt;0,G995/E995,"")</f>
        <v/>
      </c>
      <c r="I995" s="11">
        <f>IF(AND(F995&gt;0,G995&gt;0),F995/G995,"")</f>
        <v/>
      </c>
    </row>
    <row r="996">
      <c r="A996" s="4" t="inlineStr">
        <is>
          <t>319</t>
        </is>
      </c>
      <c r="B996" s="4" t="n">
        <v>3</v>
      </c>
      <c r="C996" s="4" t="inlineStr">
        <is>
          <t>whitetail</t>
        </is>
      </c>
      <c r="D996" s="4" t="n">
        <v>2022</v>
      </c>
      <c r="E996" s="5" t="n"/>
      <c r="F996" s="5" t="n"/>
      <c r="G996" s="5" t="n">
        <v>24</v>
      </c>
      <c r="H996" s="10">
        <f>IF(E996&gt;0,G996/E996,"")</f>
        <v/>
      </c>
      <c r="I996" s="11">
        <f>IF(AND(F996&gt;0,G996&gt;0),F996/G996,"")</f>
        <v/>
      </c>
    </row>
    <row r="997">
      <c r="A997" s="4" t="inlineStr">
        <is>
          <t>319</t>
        </is>
      </c>
      <c r="B997" s="4" t="n">
        <v>3</v>
      </c>
      <c r="C997" s="4" t="inlineStr">
        <is>
          <t>whitetail</t>
        </is>
      </c>
      <c r="D997" s="4" t="n">
        <v>2023</v>
      </c>
      <c r="E997" s="5" t="n">
        <v>694</v>
      </c>
      <c r="F997" s="5" t="n">
        <v>5272</v>
      </c>
      <c r="G997" s="5" t="n">
        <v>56</v>
      </c>
      <c r="H997" s="10">
        <f>IF(E997&gt;0,G997/E997,"")</f>
        <v/>
      </c>
      <c r="I997" s="11">
        <f>IF(AND(F997&gt;0,G997&gt;0),F997/G997,"")</f>
        <v/>
      </c>
    </row>
    <row r="998">
      <c r="A998" s="4" t="inlineStr">
        <is>
          <t>319</t>
        </is>
      </c>
      <c r="B998" s="4" t="n">
        <v>3</v>
      </c>
      <c r="C998" s="4" t="inlineStr">
        <is>
          <t>whitetail</t>
        </is>
      </c>
      <c r="D998" s="4" t="n">
        <v>2024</v>
      </c>
      <c r="E998" s="5" t="n"/>
      <c r="F998" s="5" t="n"/>
      <c r="G998" s="5" t="n">
        <v>58</v>
      </c>
      <c r="H998" s="10">
        <f>IF(E998&gt;0,G998/E998,"")</f>
        <v/>
      </c>
      <c r="I998" s="11">
        <f>IF(AND(F998&gt;0,G998&gt;0),F998/G998,"")</f>
        <v/>
      </c>
    </row>
    <row r="999">
      <c r="A999" s="4" t="inlineStr">
        <is>
          <t>319</t>
        </is>
      </c>
      <c r="B999" s="4" t="n">
        <v>3</v>
      </c>
      <c r="C999" s="4" t="inlineStr">
        <is>
          <t>whitetail</t>
        </is>
      </c>
      <c r="D999" s="4" t="n">
        <v>2025</v>
      </c>
      <c r="E999" s="5" t="n">
        <v>772</v>
      </c>
      <c r="F999" s="5" t="n">
        <v>5960</v>
      </c>
      <c r="G999" s="5" t="n">
        <v>77</v>
      </c>
      <c r="H999" s="10">
        <f>IF(E999&gt;0,G999/E999,"")</f>
        <v/>
      </c>
      <c r="I999" s="11">
        <f>IF(AND(F999&gt;0,G999&gt;0),F999/G999,"")</f>
        <v/>
      </c>
    </row>
    <row r="1000">
      <c r="A1000" s="4" t="inlineStr">
        <is>
          <t>320</t>
        </is>
      </c>
      <c r="B1000" s="4" t="n">
        <v>3</v>
      </c>
      <c r="C1000" s="4" t="inlineStr">
        <is>
          <t>whitetail</t>
        </is>
      </c>
      <c r="D1000" s="4" t="n">
        <v>2021</v>
      </c>
      <c r="E1000" s="5" t="n">
        <v>1490</v>
      </c>
      <c r="F1000" s="5" t="n">
        <v>8870</v>
      </c>
      <c r="G1000" s="5" t="n">
        <v>552</v>
      </c>
      <c r="H1000" s="10">
        <f>IF(E1000&gt;0,G1000/E1000,"")</f>
        <v/>
      </c>
      <c r="I1000" s="11">
        <f>IF(AND(F1000&gt;0,G1000&gt;0),F1000/G1000,"")</f>
        <v/>
      </c>
    </row>
    <row r="1001">
      <c r="A1001" s="4" t="inlineStr">
        <is>
          <t>320</t>
        </is>
      </c>
      <c r="B1001" s="4" t="n">
        <v>3</v>
      </c>
      <c r="C1001" s="4" t="inlineStr">
        <is>
          <t>whitetail</t>
        </is>
      </c>
      <c r="D1001" s="4" t="n">
        <v>2022</v>
      </c>
      <c r="E1001" s="5" t="n"/>
      <c r="F1001" s="5" t="n"/>
      <c r="G1001" s="5" t="n">
        <v>921</v>
      </c>
      <c r="H1001" s="10">
        <f>IF(E1001&gt;0,G1001/E1001,"")</f>
        <v/>
      </c>
      <c r="I1001" s="11">
        <f>IF(AND(F1001&gt;0,G1001&gt;0),F1001/G1001,"")</f>
        <v/>
      </c>
    </row>
    <row r="1002">
      <c r="A1002" s="4" t="inlineStr">
        <is>
          <t>320</t>
        </is>
      </c>
      <c r="B1002" s="4" t="n">
        <v>3</v>
      </c>
      <c r="C1002" s="4" t="inlineStr">
        <is>
          <t>whitetail</t>
        </is>
      </c>
      <c r="D1002" s="4" t="n">
        <v>2023</v>
      </c>
      <c r="E1002" s="5" t="n">
        <v>2647</v>
      </c>
      <c r="F1002" s="5" t="n">
        <v>17361</v>
      </c>
      <c r="G1002" s="5" t="n">
        <v>829</v>
      </c>
      <c r="H1002" s="10">
        <f>IF(E1002&gt;0,G1002/E1002,"")</f>
        <v/>
      </c>
      <c r="I1002" s="11">
        <f>IF(AND(F1002&gt;0,G1002&gt;0),F1002/G1002,"")</f>
        <v/>
      </c>
    </row>
    <row r="1003">
      <c r="A1003" s="4" t="inlineStr">
        <is>
          <t>320</t>
        </is>
      </c>
      <c r="B1003" s="4" t="n">
        <v>3</v>
      </c>
      <c r="C1003" s="4" t="inlineStr">
        <is>
          <t>whitetail</t>
        </is>
      </c>
      <c r="D1003" s="4" t="n">
        <v>2024</v>
      </c>
      <c r="E1003" s="5" t="n"/>
      <c r="F1003" s="5" t="n"/>
      <c r="G1003" s="5" t="n">
        <v>997</v>
      </c>
      <c r="H1003" s="10">
        <f>IF(E1003&gt;0,G1003/E1003,"")</f>
        <v/>
      </c>
      <c r="I1003" s="11">
        <f>IF(AND(F1003&gt;0,G1003&gt;0),F1003/G1003,"")</f>
        <v/>
      </c>
    </row>
    <row r="1004">
      <c r="A1004" s="4" t="inlineStr">
        <is>
          <t>320</t>
        </is>
      </c>
      <c r="B1004" s="4" t="n">
        <v>3</v>
      </c>
      <c r="C1004" s="4" t="inlineStr">
        <is>
          <t>whitetail</t>
        </is>
      </c>
      <c r="D1004" s="4" t="n">
        <v>2025</v>
      </c>
      <c r="E1004" s="5" t="n">
        <v>2611</v>
      </c>
      <c r="F1004" s="5" t="n">
        <v>16728</v>
      </c>
      <c r="G1004" s="5" t="n">
        <v>909</v>
      </c>
      <c r="H1004" s="10">
        <f>IF(E1004&gt;0,G1004/E1004,"")</f>
        <v/>
      </c>
      <c r="I1004" s="11">
        <f>IF(AND(F1004&gt;0,G1004&gt;0),F1004/G1004,"")</f>
        <v/>
      </c>
    </row>
    <row r="1005">
      <c r="A1005" s="4" t="inlineStr">
        <is>
          <t>321</t>
        </is>
      </c>
      <c r="B1005" s="4" t="n">
        <v>3</v>
      </c>
      <c r="C1005" s="4" t="inlineStr">
        <is>
          <t>whitetail</t>
        </is>
      </c>
      <c r="D1005" s="4" t="n">
        <v>2021</v>
      </c>
      <c r="E1005" s="5" t="n">
        <v>502</v>
      </c>
      <c r="F1005" s="5" t="n">
        <v>3264</v>
      </c>
      <c r="G1005" s="5" t="n">
        <v>41</v>
      </c>
      <c r="H1005" s="10">
        <f>IF(E1005&gt;0,G1005/E1005,"")</f>
        <v/>
      </c>
      <c r="I1005" s="11">
        <f>IF(AND(F1005&gt;0,G1005&gt;0),F1005/G1005,"")</f>
        <v/>
      </c>
    </row>
    <row r="1006">
      <c r="A1006" s="4" t="inlineStr">
        <is>
          <t>321</t>
        </is>
      </c>
      <c r="B1006" s="4" t="n">
        <v>3</v>
      </c>
      <c r="C1006" s="4" t="inlineStr">
        <is>
          <t>whitetail</t>
        </is>
      </c>
      <c r="D1006" s="4" t="n">
        <v>2022</v>
      </c>
      <c r="E1006" s="5" t="n"/>
      <c r="F1006" s="5" t="n"/>
      <c r="G1006" s="5" t="n">
        <v>40</v>
      </c>
      <c r="H1006" s="10">
        <f>IF(E1006&gt;0,G1006/E1006,"")</f>
        <v/>
      </c>
      <c r="I1006" s="11">
        <f>IF(AND(F1006&gt;0,G1006&gt;0),F1006/G1006,"")</f>
        <v/>
      </c>
    </row>
    <row r="1007">
      <c r="A1007" s="4" t="inlineStr">
        <is>
          <t>321</t>
        </is>
      </c>
      <c r="B1007" s="4" t="n">
        <v>3</v>
      </c>
      <c r="C1007" s="4" t="inlineStr">
        <is>
          <t>whitetail</t>
        </is>
      </c>
      <c r="D1007" s="4" t="n">
        <v>2023</v>
      </c>
      <c r="E1007" s="5" t="n">
        <v>1005</v>
      </c>
      <c r="F1007" s="5" t="n">
        <v>7465</v>
      </c>
      <c r="G1007" s="5" t="n">
        <v>81</v>
      </c>
      <c r="H1007" s="10">
        <f>IF(E1007&gt;0,G1007/E1007,"")</f>
        <v/>
      </c>
      <c r="I1007" s="11">
        <f>IF(AND(F1007&gt;0,G1007&gt;0),F1007/G1007,"")</f>
        <v/>
      </c>
    </row>
    <row r="1008">
      <c r="A1008" s="4" t="inlineStr">
        <is>
          <t>321</t>
        </is>
      </c>
      <c r="B1008" s="4" t="n">
        <v>3</v>
      </c>
      <c r="C1008" s="4" t="inlineStr">
        <is>
          <t>whitetail</t>
        </is>
      </c>
      <c r="D1008" s="4" t="n">
        <v>2024</v>
      </c>
      <c r="E1008" s="5" t="n"/>
      <c r="F1008" s="5" t="n"/>
      <c r="G1008" s="5" t="n">
        <v>45</v>
      </c>
      <c r="H1008" s="10">
        <f>IF(E1008&gt;0,G1008/E1008,"")</f>
        <v/>
      </c>
      <c r="I1008" s="11">
        <f>IF(AND(F1008&gt;0,G1008&gt;0),F1008/G1008,"")</f>
        <v/>
      </c>
    </row>
    <row r="1009">
      <c r="A1009" s="4" t="inlineStr">
        <is>
          <t>321</t>
        </is>
      </c>
      <c r="B1009" s="4" t="n">
        <v>3</v>
      </c>
      <c r="C1009" s="4" t="inlineStr">
        <is>
          <t>whitetail</t>
        </is>
      </c>
      <c r="D1009" s="4" t="n">
        <v>2025</v>
      </c>
      <c r="E1009" s="5" t="n">
        <v>1088</v>
      </c>
      <c r="F1009" s="5" t="n">
        <v>7254</v>
      </c>
      <c r="G1009" s="5" t="n">
        <v>50</v>
      </c>
      <c r="H1009" s="10">
        <f>IF(E1009&gt;0,G1009/E1009,"")</f>
        <v/>
      </c>
      <c r="I1009" s="11">
        <f>IF(AND(F1009&gt;0,G1009&gt;0),F1009/G1009,"")</f>
        <v/>
      </c>
    </row>
    <row r="1010">
      <c r="A1010" s="4" t="inlineStr">
        <is>
          <t>322</t>
        </is>
      </c>
      <c r="B1010" s="4" t="n">
        <v>3</v>
      </c>
      <c r="C1010" s="4" t="inlineStr">
        <is>
          <t>whitetail</t>
        </is>
      </c>
      <c r="D1010" s="4" t="n">
        <v>2021</v>
      </c>
      <c r="E1010" s="5" t="n">
        <v>1354</v>
      </c>
      <c r="F1010" s="5" t="n">
        <v>6729</v>
      </c>
      <c r="G1010" s="5" t="n">
        <v>675</v>
      </c>
      <c r="H1010" s="10">
        <f>IF(E1010&gt;0,G1010/E1010,"")</f>
        <v/>
      </c>
      <c r="I1010" s="11">
        <f>IF(AND(F1010&gt;0,G1010&gt;0),F1010/G1010,"")</f>
        <v/>
      </c>
    </row>
    <row r="1011">
      <c r="A1011" s="4" t="inlineStr">
        <is>
          <t>322</t>
        </is>
      </c>
      <c r="B1011" s="4" t="n">
        <v>3</v>
      </c>
      <c r="C1011" s="4" t="inlineStr">
        <is>
          <t>whitetail</t>
        </is>
      </c>
      <c r="D1011" s="4" t="n">
        <v>2022</v>
      </c>
      <c r="E1011" s="5" t="n"/>
      <c r="F1011" s="5" t="n"/>
      <c r="G1011" s="5" t="n">
        <v>1072</v>
      </c>
      <c r="H1011" s="10">
        <f>IF(E1011&gt;0,G1011/E1011,"")</f>
        <v/>
      </c>
      <c r="I1011" s="11">
        <f>IF(AND(F1011&gt;0,G1011&gt;0),F1011/G1011,"")</f>
        <v/>
      </c>
    </row>
    <row r="1012">
      <c r="A1012" s="4" t="inlineStr">
        <is>
          <t>322</t>
        </is>
      </c>
      <c r="B1012" s="4" t="n">
        <v>3</v>
      </c>
      <c r="C1012" s="4" t="inlineStr">
        <is>
          <t>whitetail</t>
        </is>
      </c>
      <c r="D1012" s="4" t="n">
        <v>2023</v>
      </c>
      <c r="E1012" s="5" t="n">
        <v>6176</v>
      </c>
      <c r="F1012" s="5" t="n">
        <v>42243</v>
      </c>
      <c r="G1012" s="5" t="n">
        <v>1022</v>
      </c>
      <c r="H1012" s="10">
        <f>IF(E1012&gt;0,G1012/E1012,"")</f>
        <v/>
      </c>
      <c r="I1012" s="11">
        <f>IF(AND(F1012&gt;0,G1012&gt;0),F1012/G1012,"")</f>
        <v/>
      </c>
    </row>
    <row r="1013">
      <c r="A1013" s="4" t="inlineStr">
        <is>
          <t>322</t>
        </is>
      </c>
      <c r="B1013" s="4" t="n">
        <v>3</v>
      </c>
      <c r="C1013" s="4" t="inlineStr">
        <is>
          <t>whitetail</t>
        </is>
      </c>
      <c r="D1013" s="4" t="n">
        <v>2024</v>
      </c>
      <c r="E1013" s="5" t="n"/>
      <c r="F1013" s="5" t="n"/>
      <c r="G1013" s="5" t="n">
        <v>431</v>
      </c>
      <c r="H1013" s="10">
        <f>IF(E1013&gt;0,G1013/E1013,"")</f>
        <v/>
      </c>
      <c r="I1013" s="11">
        <f>IF(AND(F1013&gt;0,G1013&gt;0),F1013/G1013,"")</f>
        <v/>
      </c>
    </row>
    <row r="1014">
      <c r="A1014" s="4" t="inlineStr">
        <is>
          <t>322</t>
        </is>
      </c>
      <c r="B1014" s="4" t="n">
        <v>3</v>
      </c>
      <c r="C1014" s="4" t="inlineStr">
        <is>
          <t>whitetail</t>
        </is>
      </c>
      <c r="D1014" s="4" t="n">
        <v>2025</v>
      </c>
      <c r="E1014" s="5" t="n">
        <v>1599</v>
      </c>
      <c r="F1014" s="5" t="n">
        <v>10598</v>
      </c>
      <c r="G1014" s="5" t="n">
        <v>427</v>
      </c>
      <c r="H1014" s="10">
        <f>IF(E1014&gt;0,G1014/E1014,"")</f>
        <v/>
      </c>
      <c r="I1014" s="11">
        <f>IF(AND(F1014&gt;0,G1014&gt;0),F1014/G1014,"")</f>
        <v/>
      </c>
    </row>
    <row r="1015">
      <c r="A1015" s="4" t="inlineStr">
        <is>
          <t>323</t>
        </is>
      </c>
      <c r="B1015" s="4" t="n">
        <v>3</v>
      </c>
      <c r="C1015" s="4" t="inlineStr">
        <is>
          <t>whitetail</t>
        </is>
      </c>
      <c r="D1015" s="4" t="n">
        <v>2021</v>
      </c>
      <c r="E1015" s="5" t="n">
        <v>461</v>
      </c>
      <c r="F1015" s="5" t="n">
        <v>3090</v>
      </c>
      <c r="G1015" s="5" t="n">
        <v>22</v>
      </c>
      <c r="H1015" s="10">
        <f>IF(E1015&gt;0,G1015/E1015,"")</f>
        <v/>
      </c>
      <c r="I1015" s="11">
        <f>IF(AND(F1015&gt;0,G1015&gt;0),F1015/G1015,"")</f>
        <v/>
      </c>
    </row>
    <row r="1016">
      <c r="A1016" s="4" t="inlineStr">
        <is>
          <t>323</t>
        </is>
      </c>
      <c r="B1016" s="4" t="n">
        <v>3</v>
      </c>
      <c r="C1016" s="4" t="inlineStr">
        <is>
          <t>whitetail</t>
        </is>
      </c>
      <c r="D1016" s="4" t="n">
        <v>2024</v>
      </c>
      <c r="E1016" s="5" t="n"/>
      <c r="F1016" s="5" t="n"/>
      <c r="G1016" s="5" t="n">
        <v>243</v>
      </c>
      <c r="H1016" s="10">
        <f>IF(E1016&gt;0,G1016/E1016,"")</f>
        <v/>
      </c>
      <c r="I1016" s="11">
        <f>IF(AND(F1016&gt;0,G1016&gt;0),F1016/G1016,"")</f>
        <v/>
      </c>
    </row>
    <row r="1017">
      <c r="A1017" s="4" t="inlineStr">
        <is>
          <t>323</t>
        </is>
      </c>
      <c r="B1017" s="4" t="n">
        <v>3</v>
      </c>
      <c r="C1017" s="4" t="inlineStr">
        <is>
          <t>whitetail</t>
        </is>
      </c>
      <c r="D1017" s="4" t="n">
        <v>2025</v>
      </c>
      <c r="E1017" s="5" t="n">
        <v>2639</v>
      </c>
      <c r="F1017" s="5" t="n">
        <v>17036</v>
      </c>
      <c r="G1017" s="5" t="n">
        <v>271</v>
      </c>
      <c r="H1017" s="10">
        <f>IF(E1017&gt;0,G1017/E1017,"")</f>
        <v/>
      </c>
      <c r="I1017" s="11">
        <f>IF(AND(F1017&gt;0,G1017&gt;0),F1017/G1017,"")</f>
        <v/>
      </c>
    </row>
    <row r="1018">
      <c r="A1018" s="4" t="inlineStr">
        <is>
          <t>324</t>
        </is>
      </c>
      <c r="B1018" s="4" t="n">
        <v>3</v>
      </c>
      <c r="C1018" s="4" t="inlineStr">
        <is>
          <t>whitetail</t>
        </is>
      </c>
      <c r="D1018" s="4" t="n">
        <v>2021</v>
      </c>
      <c r="E1018" s="5" t="n">
        <v>532</v>
      </c>
      <c r="F1018" s="5" t="n">
        <v>3545</v>
      </c>
      <c r="G1018" s="5" t="n">
        <v>70</v>
      </c>
      <c r="H1018" s="10">
        <f>IF(E1018&gt;0,G1018/E1018,"")</f>
        <v/>
      </c>
      <c r="I1018" s="11">
        <f>IF(AND(F1018&gt;0,G1018&gt;0),F1018/G1018,"")</f>
        <v/>
      </c>
    </row>
    <row r="1019">
      <c r="A1019" s="4" t="inlineStr">
        <is>
          <t>324</t>
        </is>
      </c>
      <c r="B1019" s="4" t="n">
        <v>3</v>
      </c>
      <c r="C1019" s="4" t="inlineStr">
        <is>
          <t>whitetail</t>
        </is>
      </c>
      <c r="D1019" s="4" t="n">
        <v>2024</v>
      </c>
      <c r="E1019" s="5" t="n"/>
      <c r="F1019" s="5" t="n"/>
      <c r="G1019" s="5" t="n">
        <v>275</v>
      </c>
      <c r="H1019" s="10">
        <f>IF(E1019&gt;0,G1019/E1019,"")</f>
        <v/>
      </c>
      <c r="I1019" s="11">
        <f>IF(AND(F1019&gt;0,G1019&gt;0),F1019/G1019,"")</f>
        <v/>
      </c>
    </row>
    <row r="1020">
      <c r="A1020" s="4" t="inlineStr">
        <is>
          <t>324</t>
        </is>
      </c>
      <c r="B1020" s="4" t="n">
        <v>3</v>
      </c>
      <c r="C1020" s="4" t="inlineStr">
        <is>
          <t>whitetail</t>
        </is>
      </c>
      <c r="D1020" s="4" t="n">
        <v>2025</v>
      </c>
      <c r="E1020" s="5" t="n">
        <v>1535</v>
      </c>
      <c r="F1020" s="5" t="n">
        <v>9522</v>
      </c>
      <c r="G1020" s="5" t="n">
        <v>299</v>
      </c>
      <c r="H1020" s="10">
        <f>IF(E1020&gt;0,G1020/E1020,"")</f>
        <v/>
      </c>
      <c r="I1020" s="11">
        <f>IF(AND(F1020&gt;0,G1020&gt;0),F1020/G1020,"")</f>
        <v/>
      </c>
    </row>
    <row r="1021">
      <c r="A1021" s="4" t="inlineStr">
        <is>
          <t>325</t>
        </is>
      </c>
      <c r="B1021" s="4" t="n">
        <v>3</v>
      </c>
      <c r="C1021" s="4" t="inlineStr">
        <is>
          <t>whitetail</t>
        </is>
      </c>
      <c r="D1021" s="4" t="n">
        <v>2021</v>
      </c>
      <c r="E1021" s="5" t="n">
        <v>1647</v>
      </c>
      <c r="F1021" s="5" t="n">
        <v>9594</v>
      </c>
      <c r="G1021" s="5" t="n">
        <v>313</v>
      </c>
      <c r="H1021" s="10">
        <f>IF(E1021&gt;0,G1021/E1021,"")</f>
        <v/>
      </c>
      <c r="I1021" s="11">
        <f>IF(AND(F1021&gt;0,G1021&gt;0),F1021/G1021,"")</f>
        <v/>
      </c>
    </row>
    <row r="1022">
      <c r="A1022" s="4" t="inlineStr">
        <is>
          <t>326</t>
        </is>
      </c>
      <c r="B1022" s="4" t="n">
        <v>3</v>
      </c>
      <c r="C1022" s="4" t="inlineStr">
        <is>
          <t>whitetail</t>
        </is>
      </c>
      <c r="D1022" s="4" t="n">
        <v>2021</v>
      </c>
      <c r="E1022" s="5" t="n">
        <v>597</v>
      </c>
      <c r="F1022" s="5" t="n">
        <v>3199</v>
      </c>
      <c r="G1022" s="5" t="n">
        <v>114</v>
      </c>
      <c r="H1022" s="10">
        <f>IF(E1022&gt;0,G1022/E1022,"")</f>
        <v/>
      </c>
      <c r="I1022" s="11">
        <f>IF(AND(F1022&gt;0,G1022&gt;0),F1022/G1022,"")</f>
        <v/>
      </c>
    </row>
    <row r="1023">
      <c r="A1023" s="4" t="inlineStr">
        <is>
          <t>327</t>
        </is>
      </c>
      <c r="B1023" s="4" t="n">
        <v>3</v>
      </c>
      <c r="C1023" s="4" t="inlineStr">
        <is>
          <t>whitetail</t>
        </is>
      </c>
      <c r="D1023" s="4" t="n">
        <v>2021</v>
      </c>
      <c r="E1023" s="5" t="n">
        <v>546</v>
      </c>
      <c r="F1023" s="5" t="n">
        <v>3451</v>
      </c>
      <c r="G1023" s="5" t="n">
        <v>22</v>
      </c>
      <c r="H1023" s="10">
        <f>IF(E1023&gt;0,G1023/E1023,"")</f>
        <v/>
      </c>
      <c r="I1023" s="11">
        <f>IF(AND(F1023&gt;0,G1023&gt;0),F1023/G1023,"")</f>
        <v/>
      </c>
    </row>
    <row r="1024">
      <c r="A1024" s="4" t="inlineStr">
        <is>
          <t>328</t>
        </is>
      </c>
      <c r="B1024" s="4" t="n">
        <v>3</v>
      </c>
      <c r="C1024" s="4" t="inlineStr">
        <is>
          <t>whitetail</t>
        </is>
      </c>
      <c r="D1024" s="4" t="n">
        <v>2021</v>
      </c>
      <c r="E1024" s="5" t="n">
        <v>320</v>
      </c>
      <c r="F1024" s="5" t="n">
        <v>1581</v>
      </c>
      <c r="G1024" s="5" t="n">
        <v>4</v>
      </c>
      <c r="H1024" s="10">
        <f>IF(E1024&gt;0,G1024/E1024,"")</f>
        <v/>
      </c>
      <c r="I1024" s="11">
        <f>IF(AND(F1024&gt;0,G1024&gt;0),F1024/G1024,"")</f>
        <v/>
      </c>
    </row>
    <row r="1025">
      <c r="A1025" s="4" t="inlineStr">
        <is>
          <t>329</t>
        </is>
      </c>
      <c r="B1025" s="4" t="n">
        <v>3</v>
      </c>
      <c r="C1025" s="4" t="inlineStr">
        <is>
          <t>whitetail</t>
        </is>
      </c>
      <c r="D1025" s="4" t="n">
        <v>2021</v>
      </c>
      <c r="E1025" s="5" t="n">
        <v>839</v>
      </c>
      <c r="F1025" s="5" t="n">
        <v>5236</v>
      </c>
      <c r="G1025" s="5" t="n">
        <v>24</v>
      </c>
      <c r="H1025" s="10">
        <f>IF(E1025&gt;0,G1025/E1025,"")</f>
        <v/>
      </c>
      <c r="I1025" s="11">
        <f>IF(AND(F1025&gt;0,G1025&gt;0),F1025/G1025,"")</f>
        <v/>
      </c>
    </row>
    <row r="1026">
      <c r="A1026" s="4" t="inlineStr">
        <is>
          <t>329</t>
        </is>
      </c>
      <c r="B1026" s="4" t="n">
        <v>3</v>
      </c>
      <c r="C1026" s="4" t="inlineStr">
        <is>
          <t>whitetail</t>
        </is>
      </c>
      <c r="D1026" s="4" t="n">
        <v>2022</v>
      </c>
      <c r="E1026" s="5" t="n"/>
      <c r="F1026" s="5" t="n"/>
      <c r="G1026" s="5" t="n">
        <v>38</v>
      </c>
      <c r="H1026" s="10">
        <f>IF(E1026&gt;0,G1026/E1026,"")</f>
        <v/>
      </c>
      <c r="I1026" s="11">
        <f>IF(AND(F1026&gt;0,G1026&gt;0),F1026/G1026,"")</f>
        <v/>
      </c>
    </row>
    <row r="1027">
      <c r="A1027" s="4" t="inlineStr">
        <is>
          <t>329</t>
        </is>
      </c>
      <c r="B1027" s="4" t="n">
        <v>3</v>
      </c>
      <c r="C1027" s="4" t="inlineStr">
        <is>
          <t>whitetail</t>
        </is>
      </c>
      <c r="D1027" s="4" t="n">
        <v>2023</v>
      </c>
      <c r="E1027" s="5" t="n">
        <v>1025</v>
      </c>
      <c r="F1027" s="5" t="n">
        <v>6414</v>
      </c>
      <c r="G1027" s="5" t="n">
        <v>68</v>
      </c>
      <c r="H1027" s="10">
        <f>IF(E1027&gt;0,G1027/E1027,"")</f>
        <v/>
      </c>
      <c r="I1027" s="11">
        <f>IF(AND(F1027&gt;0,G1027&gt;0),F1027/G1027,"")</f>
        <v/>
      </c>
    </row>
    <row r="1028">
      <c r="A1028" s="4" t="inlineStr">
        <is>
          <t>329</t>
        </is>
      </c>
      <c r="B1028" s="4" t="n">
        <v>3</v>
      </c>
      <c r="C1028" s="4" t="inlineStr">
        <is>
          <t>whitetail</t>
        </is>
      </c>
      <c r="D1028" s="4" t="n">
        <v>2024</v>
      </c>
      <c r="E1028" s="5" t="n"/>
      <c r="F1028" s="5" t="n"/>
      <c r="G1028" s="5" t="n">
        <v>40</v>
      </c>
      <c r="H1028" s="10">
        <f>IF(E1028&gt;0,G1028/E1028,"")</f>
        <v/>
      </c>
      <c r="I1028" s="11">
        <f>IF(AND(F1028&gt;0,G1028&gt;0),F1028/G1028,"")</f>
        <v/>
      </c>
    </row>
    <row r="1029">
      <c r="A1029" s="4" t="inlineStr">
        <is>
          <t>329</t>
        </is>
      </c>
      <c r="B1029" s="4" t="n">
        <v>3</v>
      </c>
      <c r="C1029" s="4" t="inlineStr">
        <is>
          <t>whitetail</t>
        </is>
      </c>
      <c r="D1029" s="4" t="n">
        <v>2025</v>
      </c>
      <c r="E1029" s="5" t="n">
        <v>1184</v>
      </c>
      <c r="F1029" s="5" t="n">
        <v>7279</v>
      </c>
      <c r="G1029" s="5" t="n">
        <v>35</v>
      </c>
      <c r="H1029" s="10">
        <f>IF(E1029&gt;0,G1029/E1029,"")</f>
        <v/>
      </c>
      <c r="I1029" s="11">
        <f>IF(AND(F1029&gt;0,G1029&gt;0),F1029/G1029,"")</f>
        <v/>
      </c>
    </row>
    <row r="1030">
      <c r="A1030" s="4" t="inlineStr">
        <is>
          <t>330</t>
        </is>
      </c>
      <c r="B1030" s="4" t="n">
        <v>3</v>
      </c>
      <c r="C1030" s="4" t="inlineStr">
        <is>
          <t>whitetail</t>
        </is>
      </c>
      <c r="D1030" s="4" t="n">
        <v>2021</v>
      </c>
      <c r="E1030" s="5" t="n">
        <v>1008</v>
      </c>
      <c r="F1030" s="5" t="n">
        <v>6837</v>
      </c>
      <c r="G1030" s="5" t="n">
        <v>168</v>
      </c>
      <c r="H1030" s="10">
        <f>IF(E1030&gt;0,G1030/E1030,"")</f>
        <v/>
      </c>
      <c r="I1030" s="11">
        <f>IF(AND(F1030&gt;0,G1030&gt;0),F1030/G1030,"")</f>
        <v/>
      </c>
    </row>
    <row r="1031">
      <c r="A1031" s="4" t="inlineStr">
        <is>
          <t>331</t>
        </is>
      </c>
      <c r="B1031" s="4" t="n">
        <v>3</v>
      </c>
      <c r="C1031" s="4" t="inlineStr">
        <is>
          <t>whitetail</t>
        </is>
      </c>
      <c r="D1031" s="4" t="n">
        <v>2021</v>
      </c>
      <c r="E1031" s="5" t="n">
        <v>1485</v>
      </c>
      <c r="F1031" s="5" t="n">
        <v>10368</v>
      </c>
      <c r="G1031" s="5" t="n">
        <v>135</v>
      </c>
      <c r="H1031" s="10">
        <f>IF(E1031&gt;0,G1031/E1031,"")</f>
        <v/>
      </c>
      <c r="I1031" s="11">
        <f>IF(AND(F1031&gt;0,G1031&gt;0),F1031/G1031,"")</f>
        <v/>
      </c>
    </row>
    <row r="1032">
      <c r="A1032" s="4" t="inlineStr">
        <is>
          <t>331</t>
        </is>
      </c>
      <c r="B1032" s="4" t="n">
        <v>3</v>
      </c>
      <c r="C1032" s="4" t="inlineStr">
        <is>
          <t>whitetail</t>
        </is>
      </c>
      <c r="D1032" s="4" t="n">
        <v>2022</v>
      </c>
      <c r="E1032" s="5" t="n"/>
      <c r="F1032" s="5" t="n"/>
      <c r="G1032" s="5" t="n">
        <v>170</v>
      </c>
      <c r="H1032" s="10">
        <f>IF(E1032&gt;0,G1032/E1032,"")</f>
        <v/>
      </c>
      <c r="I1032" s="11">
        <f>IF(AND(F1032&gt;0,G1032&gt;0),F1032/G1032,"")</f>
        <v/>
      </c>
    </row>
    <row r="1033">
      <c r="A1033" s="4" t="inlineStr">
        <is>
          <t>331</t>
        </is>
      </c>
      <c r="B1033" s="4" t="n">
        <v>3</v>
      </c>
      <c r="C1033" s="4" t="inlineStr">
        <is>
          <t>whitetail</t>
        </is>
      </c>
      <c r="D1033" s="4" t="n">
        <v>2023</v>
      </c>
      <c r="E1033" s="5" t="n">
        <v>2009</v>
      </c>
      <c r="F1033" s="5" t="n">
        <v>14147</v>
      </c>
      <c r="G1033" s="5" t="n">
        <v>153</v>
      </c>
      <c r="H1033" s="10">
        <f>IF(E1033&gt;0,G1033/E1033,"")</f>
        <v/>
      </c>
      <c r="I1033" s="11">
        <f>IF(AND(F1033&gt;0,G1033&gt;0),F1033/G1033,"")</f>
        <v/>
      </c>
    </row>
    <row r="1034">
      <c r="A1034" s="4" t="inlineStr">
        <is>
          <t>331</t>
        </is>
      </c>
      <c r="B1034" s="4" t="n">
        <v>3</v>
      </c>
      <c r="C1034" s="4" t="inlineStr">
        <is>
          <t>whitetail</t>
        </is>
      </c>
      <c r="D1034" s="4" t="n">
        <v>2024</v>
      </c>
      <c r="E1034" s="5" t="n"/>
      <c r="F1034" s="5" t="n"/>
      <c r="G1034" s="5" t="n">
        <v>196</v>
      </c>
      <c r="H1034" s="10">
        <f>IF(E1034&gt;0,G1034/E1034,"")</f>
        <v/>
      </c>
      <c r="I1034" s="11">
        <f>IF(AND(F1034&gt;0,G1034&gt;0),F1034/G1034,"")</f>
        <v/>
      </c>
    </row>
    <row r="1035">
      <c r="A1035" s="4" t="inlineStr">
        <is>
          <t>331</t>
        </is>
      </c>
      <c r="B1035" s="4" t="n">
        <v>3</v>
      </c>
      <c r="C1035" s="4" t="inlineStr">
        <is>
          <t>whitetail</t>
        </is>
      </c>
      <c r="D1035" s="4" t="n">
        <v>2025</v>
      </c>
      <c r="E1035" s="5" t="n">
        <v>2606</v>
      </c>
      <c r="F1035" s="5" t="n">
        <v>20916</v>
      </c>
      <c r="G1035" s="5" t="n">
        <v>161</v>
      </c>
      <c r="H1035" s="10">
        <f>IF(E1035&gt;0,G1035/E1035,"")</f>
        <v/>
      </c>
      <c r="I1035" s="11">
        <f>IF(AND(F1035&gt;0,G1035&gt;0),F1035/G1035,"")</f>
        <v/>
      </c>
    </row>
    <row r="1036">
      <c r="A1036" s="4" t="inlineStr">
        <is>
          <t>332</t>
        </is>
      </c>
      <c r="B1036" s="4" t="n">
        <v>3</v>
      </c>
      <c r="C1036" s="4" t="inlineStr">
        <is>
          <t>whitetail</t>
        </is>
      </c>
      <c r="D1036" s="4" t="n">
        <v>2021</v>
      </c>
      <c r="E1036" s="5" t="n">
        <v>478</v>
      </c>
      <c r="F1036" s="5" t="n">
        <v>3115</v>
      </c>
      <c r="G1036" s="5" t="n">
        <v>21</v>
      </c>
      <c r="H1036" s="10">
        <f>IF(E1036&gt;0,G1036/E1036,"")</f>
        <v/>
      </c>
      <c r="I1036" s="11">
        <f>IF(AND(F1036&gt;0,G1036&gt;0),F1036/G1036,"")</f>
        <v/>
      </c>
    </row>
    <row r="1037">
      <c r="A1037" s="4" t="inlineStr">
        <is>
          <t>333</t>
        </is>
      </c>
      <c r="B1037" s="4" t="n">
        <v>3</v>
      </c>
      <c r="C1037" s="4" t="inlineStr">
        <is>
          <t>whitetail</t>
        </is>
      </c>
      <c r="D1037" s="4" t="n">
        <v>2021</v>
      </c>
      <c r="E1037" s="5" t="n">
        <v>1452</v>
      </c>
      <c r="F1037" s="5" t="n">
        <v>9148</v>
      </c>
      <c r="G1037" s="5" t="n">
        <v>494</v>
      </c>
      <c r="H1037" s="10">
        <f>IF(E1037&gt;0,G1037/E1037,"")</f>
        <v/>
      </c>
      <c r="I1037" s="11">
        <f>IF(AND(F1037&gt;0,G1037&gt;0),F1037/G1037,"")</f>
        <v/>
      </c>
    </row>
    <row r="1038">
      <c r="A1038" s="4" t="inlineStr">
        <is>
          <t>334</t>
        </is>
      </c>
      <c r="B1038" s="4" t="n">
        <v>3</v>
      </c>
      <c r="C1038" s="4" t="inlineStr">
        <is>
          <t>whitetail</t>
        </is>
      </c>
      <c r="D1038" s="4" t="n">
        <v>2021</v>
      </c>
      <c r="E1038" s="5" t="n">
        <v>238</v>
      </c>
      <c r="F1038" s="5" t="n">
        <v>1505</v>
      </c>
      <c r="G1038" s="5" t="n">
        <v>8</v>
      </c>
      <c r="H1038" s="10">
        <f>IF(E1038&gt;0,G1038/E1038,"")</f>
        <v/>
      </c>
      <c r="I1038" s="11">
        <f>IF(AND(F1038&gt;0,G1038&gt;0),F1038/G1038,"")</f>
        <v/>
      </c>
    </row>
    <row r="1039">
      <c r="A1039" s="4" t="inlineStr">
        <is>
          <t>335</t>
        </is>
      </c>
      <c r="B1039" s="4" t="n">
        <v>3</v>
      </c>
      <c r="C1039" s="4" t="inlineStr">
        <is>
          <t>whitetail</t>
        </is>
      </c>
      <c r="D1039" s="4" t="n">
        <v>2021</v>
      </c>
      <c r="E1039" s="5" t="n">
        <v>875</v>
      </c>
      <c r="F1039" s="5" t="n">
        <v>6923</v>
      </c>
      <c r="G1039" s="5" t="n">
        <v>39</v>
      </c>
      <c r="H1039" s="10">
        <f>IF(E1039&gt;0,G1039/E1039,"")</f>
        <v/>
      </c>
      <c r="I1039" s="11">
        <f>IF(AND(F1039&gt;0,G1039&gt;0),F1039/G1039,"")</f>
        <v/>
      </c>
    </row>
    <row r="1040">
      <c r="A1040" s="4" t="inlineStr">
        <is>
          <t>335</t>
        </is>
      </c>
      <c r="B1040" s="4" t="n">
        <v>3</v>
      </c>
      <c r="C1040" s="4" t="inlineStr">
        <is>
          <t>whitetail</t>
        </is>
      </c>
      <c r="D1040" s="4" t="n">
        <v>2022</v>
      </c>
      <c r="E1040" s="5" t="n"/>
      <c r="F1040" s="5" t="n"/>
      <c r="G1040" s="5" t="n">
        <v>85</v>
      </c>
      <c r="H1040" s="10">
        <f>IF(E1040&gt;0,G1040/E1040,"")</f>
        <v/>
      </c>
      <c r="I1040" s="11">
        <f>IF(AND(F1040&gt;0,G1040&gt;0),F1040/G1040,"")</f>
        <v/>
      </c>
    </row>
    <row r="1041">
      <c r="A1041" s="4" t="inlineStr">
        <is>
          <t>335</t>
        </is>
      </c>
      <c r="B1041" s="4" t="n">
        <v>3</v>
      </c>
      <c r="C1041" s="4" t="inlineStr">
        <is>
          <t>whitetail</t>
        </is>
      </c>
      <c r="D1041" s="4" t="n">
        <v>2023</v>
      </c>
      <c r="E1041" s="5" t="n">
        <v>1100</v>
      </c>
      <c r="F1041" s="5" t="n">
        <v>9091</v>
      </c>
      <c r="G1041" s="5" t="n">
        <v>40</v>
      </c>
      <c r="H1041" s="10">
        <f>IF(E1041&gt;0,G1041/E1041,"")</f>
        <v/>
      </c>
      <c r="I1041" s="11">
        <f>IF(AND(F1041&gt;0,G1041&gt;0),F1041/G1041,"")</f>
        <v/>
      </c>
    </row>
    <row r="1042">
      <c r="A1042" s="4" t="inlineStr">
        <is>
          <t>335</t>
        </is>
      </c>
      <c r="B1042" s="4" t="n">
        <v>3</v>
      </c>
      <c r="C1042" s="4" t="inlineStr">
        <is>
          <t>whitetail</t>
        </is>
      </c>
      <c r="D1042" s="4" t="n">
        <v>2024</v>
      </c>
      <c r="E1042" s="5" t="n"/>
      <c r="F1042" s="5" t="n"/>
      <c r="G1042" s="5" t="n">
        <v>74</v>
      </c>
      <c r="H1042" s="10">
        <f>IF(E1042&gt;0,G1042/E1042,"")</f>
        <v/>
      </c>
      <c r="I1042" s="11">
        <f>IF(AND(F1042&gt;0,G1042&gt;0),F1042/G1042,"")</f>
        <v/>
      </c>
    </row>
    <row r="1043">
      <c r="A1043" s="4" t="inlineStr">
        <is>
          <t>335</t>
        </is>
      </c>
      <c r="B1043" s="4" t="n">
        <v>3</v>
      </c>
      <c r="C1043" s="4" t="inlineStr">
        <is>
          <t>whitetail</t>
        </is>
      </c>
      <c r="D1043" s="4" t="n">
        <v>2025</v>
      </c>
      <c r="E1043" s="5" t="n">
        <v>1194</v>
      </c>
      <c r="F1043" s="5" t="n">
        <v>8438</v>
      </c>
      <c r="G1043" s="5" t="n">
        <v>74</v>
      </c>
      <c r="H1043" s="10">
        <f>IF(E1043&gt;0,G1043/E1043,"")</f>
        <v/>
      </c>
      <c r="I1043" s="11">
        <f>IF(AND(F1043&gt;0,G1043&gt;0),F1043/G1043,"")</f>
        <v/>
      </c>
    </row>
    <row r="1044">
      <c r="A1044" s="4" t="inlineStr">
        <is>
          <t>339</t>
        </is>
      </c>
      <c r="B1044" s="4" t="n">
        <v>3</v>
      </c>
      <c r="C1044" s="4" t="inlineStr">
        <is>
          <t>whitetail</t>
        </is>
      </c>
      <c r="D1044" s="4" t="n">
        <v>2021</v>
      </c>
      <c r="E1044" s="5" t="n">
        <v>633</v>
      </c>
      <c r="F1044" s="5" t="n">
        <v>4031</v>
      </c>
      <c r="G1044" s="5" t="n">
        <v>50</v>
      </c>
      <c r="H1044" s="10">
        <f>IF(E1044&gt;0,G1044/E1044,"")</f>
        <v/>
      </c>
      <c r="I1044" s="11">
        <f>IF(AND(F1044&gt;0,G1044&gt;0),F1044/G1044,"")</f>
        <v/>
      </c>
    </row>
    <row r="1045">
      <c r="A1045" s="4" t="inlineStr">
        <is>
          <t>339</t>
        </is>
      </c>
      <c r="B1045" s="4" t="n">
        <v>3</v>
      </c>
      <c r="C1045" s="4" t="inlineStr">
        <is>
          <t>whitetail</t>
        </is>
      </c>
      <c r="D1045" s="4" t="n">
        <v>2022</v>
      </c>
      <c r="E1045" s="5" t="n"/>
      <c r="F1045" s="5" t="n"/>
      <c r="G1045" s="5" t="n">
        <v>70</v>
      </c>
      <c r="H1045" s="10">
        <f>IF(E1045&gt;0,G1045/E1045,"")</f>
        <v/>
      </c>
      <c r="I1045" s="11">
        <f>IF(AND(F1045&gt;0,G1045&gt;0),F1045/G1045,"")</f>
        <v/>
      </c>
    </row>
    <row r="1046">
      <c r="A1046" s="4" t="inlineStr">
        <is>
          <t>339</t>
        </is>
      </c>
      <c r="B1046" s="4" t="n">
        <v>3</v>
      </c>
      <c r="C1046" s="4" t="inlineStr">
        <is>
          <t>whitetail</t>
        </is>
      </c>
      <c r="D1046" s="4" t="n">
        <v>2023</v>
      </c>
      <c r="E1046" s="5" t="n">
        <v>653</v>
      </c>
      <c r="F1046" s="5" t="n">
        <v>4192</v>
      </c>
      <c r="G1046" s="5" t="n">
        <v>57</v>
      </c>
      <c r="H1046" s="10">
        <f>IF(E1046&gt;0,G1046/E1046,"")</f>
        <v/>
      </c>
      <c r="I1046" s="11">
        <f>IF(AND(F1046&gt;0,G1046&gt;0),F1046/G1046,"")</f>
        <v/>
      </c>
    </row>
    <row r="1047">
      <c r="A1047" s="4" t="inlineStr">
        <is>
          <t>339</t>
        </is>
      </c>
      <c r="B1047" s="4" t="n">
        <v>3</v>
      </c>
      <c r="C1047" s="4" t="inlineStr">
        <is>
          <t>whitetail</t>
        </is>
      </c>
      <c r="D1047" s="4" t="n">
        <v>2024</v>
      </c>
      <c r="E1047" s="5" t="n"/>
      <c r="F1047" s="5" t="n"/>
      <c r="G1047" s="5" t="n">
        <v>57</v>
      </c>
      <c r="H1047" s="10">
        <f>IF(E1047&gt;0,G1047/E1047,"")</f>
        <v/>
      </c>
      <c r="I1047" s="11">
        <f>IF(AND(F1047&gt;0,G1047&gt;0),F1047/G1047,"")</f>
        <v/>
      </c>
    </row>
    <row r="1048">
      <c r="A1048" s="4" t="inlineStr">
        <is>
          <t>339</t>
        </is>
      </c>
      <c r="B1048" s="4" t="n">
        <v>3</v>
      </c>
      <c r="C1048" s="4" t="inlineStr">
        <is>
          <t>whitetail</t>
        </is>
      </c>
      <c r="D1048" s="4" t="n">
        <v>2025</v>
      </c>
      <c r="E1048" s="5" t="n">
        <v>870</v>
      </c>
      <c r="F1048" s="5" t="n">
        <v>5989</v>
      </c>
      <c r="G1048" s="5" t="n">
        <v>69</v>
      </c>
      <c r="H1048" s="10">
        <f>IF(E1048&gt;0,G1048/E1048,"")</f>
        <v/>
      </c>
      <c r="I1048" s="11">
        <f>IF(AND(F1048&gt;0,G1048&gt;0),F1048/G1048,"")</f>
        <v/>
      </c>
    </row>
    <row r="1049">
      <c r="A1049" s="4" t="inlineStr">
        <is>
          <t>340</t>
        </is>
      </c>
      <c r="B1049" s="4" t="n">
        <v>3</v>
      </c>
      <c r="C1049" s="4" t="inlineStr">
        <is>
          <t>whitetail</t>
        </is>
      </c>
      <c r="D1049" s="4" t="n">
        <v>2021</v>
      </c>
      <c r="E1049" s="5" t="n">
        <v>2067</v>
      </c>
      <c r="F1049" s="5" t="n">
        <v>13242</v>
      </c>
      <c r="G1049" s="5" t="n">
        <v>444</v>
      </c>
      <c r="H1049" s="10">
        <f>IF(E1049&gt;0,G1049/E1049,"")</f>
        <v/>
      </c>
      <c r="I1049" s="11">
        <f>IF(AND(F1049&gt;0,G1049&gt;0),F1049/G1049,"")</f>
        <v/>
      </c>
    </row>
    <row r="1050">
      <c r="A1050" s="4" t="inlineStr">
        <is>
          <t>340</t>
        </is>
      </c>
      <c r="B1050" s="4" t="n">
        <v>3</v>
      </c>
      <c r="C1050" s="4" t="inlineStr">
        <is>
          <t>whitetail</t>
        </is>
      </c>
      <c r="D1050" s="4" t="n">
        <v>2022</v>
      </c>
      <c r="E1050" s="5" t="n"/>
      <c r="F1050" s="5" t="n"/>
      <c r="G1050" s="5" t="n">
        <v>399</v>
      </c>
      <c r="H1050" s="10">
        <f>IF(E1050&gt;0,G1050/E1050,"")</f>
        <v/>
      </c>
      <c r="I1050" s="11">
        <f>IF(AND(F1050&gt;0,G1050&gt;0),F1050/G1050,"")</f>
        <v/>
      </c>
    </row>
    <row r="1051">
      <c r="A1051" s="4" t="inlineStr">
        <is>
          <t>340</t>
        </is>
      </c>
      <c r="B1051" s="4" t="n">
        <v>3</v>
      </c>
      <c r="C1051" s="4" t="inlineStr">
        <is>
          <t>whitetail</t>
        </is>
      </c>
      <c r="D1051" s="4" t="n">
        <v>2023</v>
      </c>
      <c r="E1051" s="5" t="n">
        <v>1963</v>
      </c>
      <c r="F1051" s="5" t="n">
        <v>12717</v>
      </c>
      <c r="G1051" s="5" t="n">
        <v>424</v>
      </c>
      <c r="H1051" s="10">
        <f>IF(E1051&gt;0,G1051/E1051,"")</f>
        <v/>
      </c>
      <c r="I1051" s="11">
        <f>IF(AND(F1051&gt;0,G1051&gt;0),F1051/G1051,"")</f>
        <v/>
      </c>
    </row>
    <row r="1052">
      <c r="A1052" s="4" t="inlineStr">
        <is>
          <t>340</t>
        </is>
      </c>
      <c r="B1052" s="4" t="n">
        <v>3</v>
      </c>
      <c r="C1052" s="4" t="inlineStr">
        <is>
          <t>whitetail</t>
        </is>
      </c>
      <c r="D1052" s="4" t="n">
        <v>2024</v>
      </c>
      <c r="E1052" s="5" t="n"/>
      <c r="F1052" s="5" t="n"/>
      <c r="G1052" s="5" t="n">
        <v>374</v>
      </c>
      <c r="H1052" s="10">
        <f>IF(E1052&gt;0,G1052/E1052,"")</f>
        <v/>
      </c>
      <c r="I1052" s="11">
        <f>IF(AND(F1052&gt;0,G1052&gt;0),F1052/G1052,"")</f>
        <v/>
      </c>
    </row>
    <row r="1053">
      <c r="A1053" s="4" t="inlineStr">
        <is>
          <t>340</t>
        </is>
      </c>
      <c r="B1053" s="4" t="n">
        <v>3</v>
      </c>
      <c r="C1053" s="4" t="inlineStr">
        <is>
          <t>whitetail</t>
        </is>
      </c>
      <c r="D1053" s="4" t="n">
        <v>2025</v>
      </c>
      <c r="E1053" s="5" t="n">
        <v>1922</v>
      </c>
      <c r="F1053" s="5" t="n">
        <v>12825</v>
      </c>
      <c r="G1053" s="5" t="n">
        <v>331</v>
      </c>
      <c r="H1053" s="10">
        <f>IF(E1053&gt;0,G1053/E1053,"")</f>
        <v/>
      </c>
      <c r="I1053" s="11">
        <f>IF(AND(F1053&gt;0,G1053&gt;0),F1053/G1053,"")</f>
        <v/>
      </c>
    </row>
    <row r="1054">
      <c r="A1054" s="4" t="inlineStr">
        <is>
          <t>341</t>
        </is>
      </c>
      <c r="B1054" s="4" t="n">
        <v>3</v>
      </c>
      <c r="C1054" s="4" t="inlineStr">
        <is>
          <t>whitetail</t>
        </is>
      </c>
      <c r="D1054" s="4" t="n">
        <v>2021</v>
      </c>
      <c r="E1054" s="5" t="n">
        <v>525</v>
      </c>
      <c r="F1054" s="5" t="n">
        <v>3674</v>
      </c>
      <c r="G1054" s="5" t="n">
        <v>58</v>
      </c>
      <c r="H1054" s="10">
        <f>IF(E1054&gt;0,G1054/E1054,"")</f>
        <v/>
      </c>
      <c r="I1054" s="11">
        <f>IF(AND(F1054&gt;0,G1054&gt;0),F1054/G1054,"")</f>
        <v/>
      </c>
    </row>
    <row r="1055">
      <c r="A1055" s="4" t="inlineStr">
        <is>
          <t>343</t>
        </is>
      </c>
      <c r="B1055" s="4" t="n">
        <v>3</v>
      </c>
      <c r="C1055" s="4" t="inlineStr">
        <is>
          <t>whitetail</t>
        </is>
      </c>
      <c r="D1055" s="4" t="n">
        <v>2021</v>
      </c>
      <c r="E1055" s="5" t="n">
        <v>826</v>
      </c>
      <c r="F1055" s="5" t="n">
        <v>5774</v>
      </c>
      <c r="G1055" s="5" t="n">
        <v>50</v>
      </c>
      <c r="H1055" s="10">
        <f>IF(E1055&gt;0,G1055/E1055,"")</f>
        <v/>
      </c>
      <c r="I1055" s="11">
        <f>IF(AND(F1055&gt;0,G1055&gt;0),F1055/G1055,"")</f>
        <v/>
      </c>
    </row>
    <row r="1056">
      <c r="A1056" s="4" t="inlineStr">
        <is>
          <t>343</t>
        </is>
      </c>
      <c r="B1056" s="4" t="n">
        <v>3</v>
      </c>
      <c r="C1056" s="4" t="inlineStr">
        <is>
          <t>whitetail</t>
        </is>
      </c>
      <c r="D1056" s="4" t="n">
        <v>2022</v>
      </c>
      <c r="E1056" s="5" t="n"/>
      <c r="F1056" s="5" t="n"/>
      <c r="G1056" s="5" t="n">
        <v>54</v>
      </c>
      <c r="H1056" s="10">
        <f>IF(E1056&gt;0,G1056/E1056,"")</f>
        <v/>
      </c>
      <c r="I1056" s="11">
        <f>IF(AND(F1056&gt;0,G1056&gt;0),F1056/G1056,"")</f>
        <v/>
      </c>
    </row>
    <row r="1057">
      <c r="A1057" s="4" t="inlineStr">
        <is>
          <t>343</t>
        </is>
      </c>
      <c r="B1057" s="4" t="n">
        <v>3</v>
      </c>
      <c r="C1057" s="4" t="inlineStr">
        <is>
          <t>whitetail</t>
        </is>
      </c>
      <c r="D1057" s="4" t="n">
        <v>2023</v>
      </c>
      <c r="E1057" s="5" t="n">
        <v>949</v>
      </c>
      <c r="F1057" s="5" t="n">
        <v>6944</v>
      </c>
      <c r="G1057" s="5" t="n">
        <v>66</v>
      </c>
      <c r="H1057" s="10">
        <f>IF(E1057&gt;0,G1057/E1057,"")</f>
        <v/>
      </c>
      <c r="I1057" s="11">
        <f>IF(AND(F1057&gt;0,G1057&gt;0),F1057/G1057,"")</f>
        <v/>
      </c>
    </row>
    <row r="1058">
      <c r="A1058" s="4" t="inlineStr">
        <is>
          <t>343</t>
        </is>
      </c>
      <c r="B1058" s="4" t="n">
        <v>3</v>
      </c>
      <c r="C1058" s="4" t="inlineStr">
        <is>
          <t>whitetail</t>
        </is>
      </c>
      <c r="D1058" s="4" t="n">
        <v>2024</v>
      </c>
      <c r="E1058" s="5" t="n"/>
      <c r="F1058" s="5" t="n"/>
      <c r="G1058" s="5" t="n">
        <v>57</v>
      </c>
      <c r="H1058" s="10">
        <f>IF(E1058&gt;0,G1058/E1058,"")</f>
        <v/>
      </c>
      <c r="I1058" s="11">
        <f>IF(AND(F1058&gt;0,G1058&gt;0),F1058/G1058,"")</f>
        <v/>
      </c>
    </row>
    <row r="1059">
      <c r="A1059" s="4" t="inlineStr">
        <is>
          <t>343</t>
        </is>
      </c>
      <c r="B1059" s="4" t="n">
        <v>3</v>
      </c>
      <c r="C1059" s="4" t="inlineStr">
        <is>
          <t>whitetail</t>
        </is>
      </c>
      <c r="D1059" s="4" t="n">
        <v>2025</v>
      </c>
      <c r="E1059" s="5" t="n">
        <v>1112</v>
      </c>
      <c r="F1059" s="5" t="n">
        <v>7733</v>
      </c>
      <c r="G1059" s="5" t="n">
        <v>52</v>
      </c>
      <c r="H1059" s="10">
        <f>IF(E1059&gt;0,G1059/E1059,"")</f>
        <v/>
      </c>
      <c r="I1059" s="11">
        <f>IF(AND(F1059&gt;0,G1059&gt;0),F1059/G1059,"")</f>
        <v/>
      </c>
    </row>
    <row r="1060">
      <c r="A1060" s="4" t="inlineStr">
        <is>
          <t>350</t>
        </is>
      </c>
      <c r="B1060" s="4" t="n">
        <v>3</v>
      </c>
      <c r="C1060" s="4" t="inlineStr">
        <is>
          <t>whitetail</t>
        </is>
      </c>
      <c r="D1060" s="4" t="n">
        <v>2021</v>
      </c>
      <c r="E1060" s="5" t="n">
        <v>586</v>
      </c>
      <c r="F1060" s="5" t="n">
        <v>4076</v>
      </c>
      <c r="G1060" s="5" t="n">
        <v>29</v>
      </c>
      <c r="H1060" s="10">
        <f>IF(E1060&gt;0,G1060/E1060,"")</f>
        <v/>
      </c>
      <c r="I1060" s="11">
        <f>IF(AND(F1060&gt;0,G1060&gt;0),F1060/G1060,"")</f>
        <v/>
      </c>
    </row>
    <row r="1061">
      <c r="A1061" s="4" t="inlineStr">
        <is>
          <t>350</t>
        </is>
      </c>
      <c r="B1061" s="4" t="n">
        <v>3</v>
      </c>
      <c r="C1061" s="4" t="inlineStr">
        <is>
          <t>whitetail</t>
        </is>
      </c>
      <c r="D1061" s="4" t="n">
        <v>2022</v>
      </c>
      <c r="E1061" s="5" t="n"/>
      <c r="F1061" s="5" t="n"/>
      <c r="G1061" s="5" t="n">
        <v>55</v>
      </c>
      <c r="H1061" s="10">
        <f>IF(E1061&gt;0,G1061/E1061,"")</f>
        <v/>
      </c>
      <c r="I1061" s="11">
        <f>IF(AND(F1061&gt;0,G1061&gt;0),F1061/G1061,"")</f>
        <v/>
      </c>
    </row>
    <row r="1062">
      <c r="A1062" s="4" t="inlineStr">
        <is>
          <t>350</t>
        </is>
      </c>
      <c r="B1062" s="4" t="n">
        <v>3</v>
      </c>
      <c r="C1062" s="4" t="inlineStr">
        <is>
          <t>whitetail</t>
        </is>
      </c>
      <c r="D1062" s="4" t="n">
        <v>2023</v>
      </c>
      <c r="E1062" s="5" t="n">
        <v>717</v>
      </c>
      <c r="F1062" s="5" t="n">
        <v>5179</v>
      </c>
      <c r="G1062" s="5" t="n">
        <v>50</v>
      </c>
      <c r="H1062" s="10">
        <f>IF(E1062&gt;0,G1062/E1062,"")</f>
        <v/>
      </c>
      <c r="I1062" s="11">
        <f>IF(AND(F1062&gt;0,G1062&gt;0),F1062/G1062,"")</f>
        <v/>
      </c>
    </row>
    <row r="1063">
      <c r="A1063" s="4" t="inlineStr">
        <is>
          <t>350</t>
        </is>
      </c>
      <c r="B1063" s="4" t="n">
        <v>3</v>
      </c>
      <c r="C1063" s="4" t="inlineStr">
        <is>
          <t>whitetail</t>
        </is>
      </c>
      <c r="D1063" s="4" t="n">
        <v>2024</v>
      </c>
      <c r="E1063" s="5" t="n"/>
      <c r="F1063" s="5" t="n"/>
      <c r="G1063" s="5" t="n">
        <v>74</v>
      </c>
      <c r="H1063" s="10">
        <f>IF(E1063&gt;0,G1063/E1063,"")</f>
        <v/>
      </c>
      <c r="I1063" s="11">
        <f>IF(AND(F1063&gt;0,G1063&gt;0),F1063/G1063,"")</f>
        <v/>
      </c>
    </row>
    <row r="1064">
      <c r="A1064" s="4" t="inlineStr">
        <is>
          <t>350</t>
        </is>
      </c>
      <c r="B1064" s="4" t="n">
        <v>3</v>
      </c>
      <c r="C1064" s="4" t="inlineStr">
        <is>
          <t>whitetail</t>
        </is>
      </c>
      <c r="D1064" s="4" t="n">
        <v>2025</v>
      </c>
      <c r="E1064" s="5" t="n">
        <v>768</v>
      </c>
      <c r="F1064" s="5" t="n">
        <v>5373</v>
      </c>
      <c r="G1064" s="5" t="n">
        <v>49</v>
      </c>
      <c r="H1064" s="10">
        <f>IF(E1064&gt;0,G1064/E1064,"")</f>
        <v/>
      </c>
      <c r="I1064" s="11">
        <f>IF(AND(F1064&gt;0,G1064&gt;0),F1064/G1064,"")</f>
        <v/>
      </c>
    </row>
    <row r="1065">
      <c r="A1065" s="4" t="inlineStr">
        <is>
          <t>360</t>
        </is>
      </c>
      <c r="B1065" s="4" t="n">
        <v>3</v>
      </c>
      <c r="C1065" s="4" t="inlineStr">
        <is>
          <t>whitetail</t>
        </is>
      </c>
      <c r="D1065" s="4" t="n">
        <v>2021</v>
      </c>
      <c r="E1065" s="5" t="n">
        <v>1139</v>
      </c>
      <c r="F1065" s="5" t="n">
        <v>7573</v>
      </c>
      <c r="G1065" s="5" t="n">
        <v>200</v>
      </c>
      <c r="H1065" s="10">
        <f>IF(E1065&gt;0,G1065/E1065,"")</f>
        <v/>
      </c>
      <c r="I1065" s="11">
        <f>IF(AND(F1065&gt;0,G1065&gt;0),F1065/G1065,"")</f>
        <v/>
      </c>
    </row>
    <row r="1066">
      <c r="A1066" s="4" t="inlineStr">
        <is>
          <t>360</t>
        </is>
      </c>
      <c r="B1066" s="4" t="n">
        <v>3</v>
      </c>
      <c r="C1066" s="4" t="inlineStr">
        <is>
          <t>whitetail</t>
        </is>
      </c>
      <c r="D1066" s="4" t="n">
        <v>2022</v>
      </c>
      <c r="E1066" s="5" t="n"/>
      <c r="F1066" s="5" t="n"/>
      <c r="G1066" s="5" t="n">
        <v>264</v>
      </c>
      <c r="H1066" s="10">
        <f>IF(E1066&gt;0,G1066/E1066,"")</f>
        <v/>
      </c>
      <c r="I1066" s="11">
        <f>IF(AND(F1066&gt;0,G1066&gt;0),F1066/G1066,"")</f>
        <v/>
      </c>
    </row>
    <row r="1067">
      <c r="A1067" s="4" t="inlineStr">
        <is>
          <t>360</t>
        </is>
      </c>
      <c r="B1067" s="4" t="n">
        <v>3</v>
      </c>
      <c r="C1067" s="4" t="inlineStr">
        <is>
          <t>whitetail</t>
        </is>
      </c>
      <c r="D1067" s="4" t="n">
        <v>2023</v>
      </c>
      <c r="E1067" s="5" t="n">
        <v>1484</v>
      </c>
      <c r="F1067" s="5" t="n">
        <v>10206</v>
      </c>
      <c r="G1067" s="5" t="n">
        <v>201</v>
      </c>
      <c r="H1067" s="10">
        <f>IF(E1067&gt;0,G1067/E1067,"")</f>
        <v/>
      </c>
      <c r="I1067" s="11">
        <f>IF(AND(F1067&gt;0,G1067&gt;0),F1067/G1067,"")</f>
        <v/>
      </c>
    </row>
    <row r="1068">
      <c r="A1068" s="4" t="inlineStr">
        <is>
          <t>360</t>
        </is>
      </c>
      <c r="B1068" s="4" t="n">
        <v>3</v>
      </c>
      <c r="C1068" s="4" t="inlineStr">
        <is>
          <t>whitetail</t>
        </is>
      </c>
      <c r="D1068" s="4" t="n">
        <v>2024</v>
      </c>
      <c r="E1068" s="5" t="n"/>
      <c r="F1068" s="5" t="n"/>
      <c r="G1068" s="5" t="n">
        <v>260</v>
      </c>
      <c r="H1068" s="10">
        <f>IF(E1068&gt;0,G1068/E1068,"")</f>
        <v/>
      </c>
      <c r="I1068" s="11">
        <f>IF(AND(F1068&gt;0,G1068&gt;0),F1068/G1068,"")</f>
        <v/>
      </c>
    </row>
    <row r="1069">
      <c r="A1069" s="4" t="inlineStr">
        <is>
          <t>360</t>
        </is>
      </c>
      <c r="B1069" s="4" t="n">
        <v>3</v>
      </c>
      <c r="C1069" s="4" t="inlineStr">
        <is>
          <t>whitetail</t>
        </is>
      </c>
      <c r="D1069" s="4" t="n">
        <v>2025</v>
      </c>
      <c r="E1069" s="5" t="n">
        <v>1637</v>
      </c>
      <c r="F1069" s="5" t="n">
        <v>10661</v>
      </c>
      <c r="G1069" s="5" t="n">
        <v>262</v>
      </c>
      <c r="H1069" s="10">
        <f>IF(E1069&gt;0,G1069/E1069,"")</f>
        <v/>
      </c>
      <c r="I1069" s="11">
        <f>IF(AND(F1069&gt;0,G1069&gt;0),F1069/G1069,"")</f>
        <v/>
      </c>
    </row>
    <row r="1070">
      <c r="A1070" s="4" t="inlineStr">
        <is>
          <t>361</t>
        </is>
      </c>
      <c r="B1070" s="4" t="n">
        <v>3</v>
      </c>
      <c r="C1070" s="4" t="inlineStr">
        <is>
          <t>whitetail</t>
        </is>
      </c>
      <c r="D1070" s="4" t="n">
        <v>2022</v>
      </c>
      <c r="E1070" s="5" t="n"/>
      <c r="F1070" s="5" t="n"/>
      <c r="G1070" s="5" t="n">
        <v>9</v>
      </c>
      <c r="H1070" s="10">
        <f>IF(E1070&gt;0,G1070/E1070,"")</f>
        <v/>
      </c>
      <c r="I1070" s="11">
        <f>IF(AND(F1070&gt;0,G1070&gt;0),F1070/G1070,"")</f>
        <v/>
      </c>
    </row>
    <row r="1071">
      <c r="A1071" s="4" t="inlineStr">
        <is>
          <t>361</t>
        </is>
      </c>
      <c r="B1071" s="4" t="n">
        <v>3</v>
      </c>
      <c r="C1071" s="4" t="inlineStr">
        <is>
          <t>whitetail</t>
        </is>
      </c>
      <c r="D1071" s="4" t="n">
        <v>2023</v>
      </c>
      <c r="E1071" s="5" t="n">
        <v>229</v>
      </c>
      <c r="F1071" s="5" t="n">
        <v>1672</v>
      </c>
      <c r="G1071" s="5" t="n">
        <v>10</v>
      </c>
      <c r="H1071" s="10">
        <f>IF(E1071&gt;0,G1071/E1071,"")</f>
        <v/>
      </c>
      <c r="I1071" s="11">
        <f>IF(AND(F1071&gt;0,G1071&gt;0),F1071/G1071,"")</f>
        <v/>
      </c>
    </row>
    <row r="1072">
      <c r="A1072" s="4" t="inlineStr">
        <is>
          <t>361</t>
        </is>
      </c>
      <c r="B1072" s="4" t="n">
        <v>3</v>
      </c>
      <c r="C1072" s="4" t="inlineStr">
        <is>
          <t>whitetail</t>
        </is>
      </c>
      <c r="D1072" s="4" t="n">
        <v>2024</v>
      </c>
      <c r="E1072" s="5" t="n"/>
      <c r="F1072" s="5" t="n"/>
      <c r="G1072" s="5" t="n">
        <v>3</v>
      </c>
      <c r="H1072" s="10">
        <f>IF(E1072&gt;0,G1072/E1072,"")</f>
        <v/>
      </c>
      <c r="I1072" s="11">
        <f>IF(AND(F1072&gt;0,G1072&gt;0),F1072/G1072,"")</f>
        <v/>
      </c>
    </row>
    <row r="1073">
      <c r="A1073" s="4" t="inlineStr">
        <is>
          <t>361</t>
        </is>
      </c>
      <c r="B1073" s="4" t="n">
        <v>3</v>
      </c>
      <c r="C1073" s="4" t="inlineStr">
        <is>
          <t>whitetail</t>
        </is>
      </c>
      <c r="D1073" s="4" t="n">
        <v>2025</v>
      </c>
      <c r="E1073" s="5" t="n">
        <v>308</v>
      </c>
      <c r="F1073" s="5" t="n">
        <v>2375</v>
      </c>
      <c r="G1073" s="5" t="n">
        <v>8</v>
      </c>
      <c r="H1073" s="10">
        <f>IF(E1073&gt;0,G1073/E1073,"")</f>
        <v/>
      </c>
      <c r="I1073" s="11">
        <f>IF(AND(F1073&gt;0,G1073&gt;0),F1073/G1073,"")</f>
        <v/>
      </c>
    </row>
    <row r="1074">
      <c r="A1074" s="4" t="inlineStr">
        <is>
          <t>362</t>
        </is>
      </c>
      <c r="B1074" s="4" t="n">
        <v>3</v>
      </c>
      <c r="C1074" s="4" t="inlineStr">
        <is>
          <t>whitetail</t>
        </is>
      </c>
      <c r="D1074" s="4" t="n">
        <v>2021</v>
      </c>
      <c r="E1074" s="5" t="n">
        <v>305</v>
      </c>
      <c r="F1074" s="5" t="n">
        <v>2102</v>
      </c>
      <c r="G1074" s="5" t="n">
        <v>3</v>
      </c>
      <c r="H1074" s="10">
        <f>IF(E1074&gt;0,G1074/E1074,"")</f>
        <v/>
      </c>
      <c r="I1074" s="11">
        <f>IF(AND(F1074&gt;0,G1074&gt;0),F1074/G1074,"")</f>
        <v/>
      </c>
    </row>
    <row r="1075">
      <c r="A1075" s="4" t="inlineStr">
        <is>
          <t>370</t>
        </is>
      </c>
      <c r="B1075" s="4" t="n">
        <v>3</v>
      </c>
      <c r="C1075" s="4" t="inlineStr">
        <is>
          <t>whitetail</t>
        </is>
      </c>
      <c r="D1075" s="4" t="n">
        <v>2021</v>
      </c>
      <c r="E1075" s="5" t="n">
        <v>490</v>
      </c>
      <c r="F1075" s="5" t="n">
        <v>2880</v>
      </c>
      <c r="G1075" s="5" t="n">
        <v>20</v>
      </c>
      <c r="H1075" s="10">
        <f>IF(E1075&gt;0,G1075/E1075,"")</f>
        <v/>
      </c>
      <c r="I1075" s="11">
        <f>IF(AND(F1075&gt;0,G1075&gt;0),F1075/G1075,"")</f>
        <v/>
      </c>
    </row>
    <row r="1076">
      <c r="A1076" s="4" t="inlineStr">
        <is>
          <t>370</t>
        </is>
      </c>
      <c r="B1076" s="4" t="n">
        <v>3</v>
      </c>
      <c r="C1076" s="4" t="inlineStr">
        <is>
          <t>whitetail</t>
        </is>
      </c>
      <c r="D1076" s="4" t="n">
        <v>2022</v>
      </c>
      <c r="E1076" s="5" t="n"/>
      <c r="F1076" s="5" t="n"/>
      <c r="G1076" s="5" t="n">
        <v>15</v>
      </c>
      <c r="H1076" s="10">
        <f>IF(E1076&gt;0,G1076/E1076,"")</f>
        <v/>
      </c>
      <c r="I1076" s="11">
        <f>IF(AND(F1076&gt;0,G1076&gt;0),F1076/G1076,"")</f>
        <v/>
      </c>
    </row>
    <row r="1077">
      <c r="A1077" s="4" t="inlineStr">
        <is>
          <t>370</t>
        </is>
      </c>
      <c r="B1077" s="4" t="n">
        <v>3</v>
      </c>
      <c r="C1077" s="4" t="inlineStr">
        <is>
          <t>whitetail</t>
        </is>
      </c>
      <c r="D1077" s="4" t="n">
        <v>2023</v>
      </c>
      <c r="E1077" s="5" t="n">
        <v>572</v>
      </c>
      <c r="F1077" s="5" t="n">
        <v>3536</v>
      </c>
      <c r="G1077" s="5" t="n">
        <v>43</v>
      </c>
      <c r="H1077" s="10">
        <f>IF(E1077&gt;0,G1077/E1077,"")</f>
        <v/>
      </c>
      <c r="I1077" s="11">
        <f>IF(AND(F1077&gt;0,G1077&gt;0),F1077/G1077,"")</f>
        <v/>
      </c>
    </row>
    <row r="1078">
      <c r="A1078" s="4" t="inlineStr">
        <is>
          <t>370</t>
        </is>
      </c>
      <c r="B1078" s="4" t="n">
        <v>3</v>
      </c>
      <c r="C1078" s="4" t="inlineStr">
        <is>
          <t>whitetail</t>
        </is>
      </c>
      <c r="D1078" s="4" t="n">
        <v>2024</v>
      </c>
      <c r="E1078" s="5" t="n"/>
      <c r="F1078" s="5" t="n"/>
      <c r="G1078" s="5" t="n">
        <v>25</v>
      </c>
      <c r="H1078" s="10">
        <f>IF(E1078&gt;0,G1078/E1078,"")</f>
        <v/>
      </c>
      <c r="I1078" s="11">
        <f>IF(AND(F1078&gt;0,G1078&gt;0),F1078/G1078,"")</f>
        <v/>
      </c>
    </row>
    <row r="1079">
      <c r="A1079" s="4" t="inlineStr">
        <is>
          <t>370</t>
        </is>
      </c>
      <c r="B1079" s="4" t="n">
        <v>3</v>
      </c>
      <c r="C1079" s="4" t="inlineStr">
        <is>
          <t>whitetail</t>
        </is>
      </c>
      <c r="D1079" s="4" t="n">
        <v>2025</v>
      </c>
      <c r="E1079" s="5" t="n">
        <v>515</v>
      </c>
      <c r="F1079" s="5" t="n">
        <v>3111</v>
      </c>
      <c r="G1079" s="5" t="n">
        <v>37</v>
      </c>
      <c r="H1079" s="10">
        <f>IF(E1079&gt;0,G1079/E1079,"")</f>
        <v/>
      </c>
      <c r="I1079" s="11">
        <f>IF(AND(F1079&gt;0,G1079&gt;0),F1079/G1079,"")</f>
        <v/>
      </c>
    </row>
    <row r="1080">
      <c r="A1080" s="4" t="inlineStr">
        <is>
          <t>380</t>
        </is>
      </c>
      <c r="B1080" s="4" t="n">
        <v>3</v>
      </c>
      <c r="C1080" s="4" t="inlineStr">
        <is>
          <t>whitetail</t>
        </is>
      </c>
      <c r="D1080" s="4" t="n">
        <v>2021</v>
      </c>
      <c r="E1080" s="5" t="n">
        <v>1817</v>
      </c>
      <c r="F1080" s="5" t="n">
        <v>12115</v>
      </c>
      <c r="G1080" s="5" t="n">
        <v>467</v>
      </c>
      <c r="H1080" s="10">
        <f>IF(E1080&gt;0,G1080/E1080,"")</f>
        <v/>
      </c>
      <c r="I1080" s="11">
        <f>IF(AND(F1080&gt;0,G1080&gt;0),F1080/G1080,"")</f>
        <v/>
      </c>
    </row>
    <row r="1081">
      <c r="A1081" s="4" t="inlineStr">
        <is>
          <t>380</t>
        </is>
      </c>
      <c r="B1081" s="4" t="n">
        <v>3</v>
      </c>
      <c r="C1081" s="4" t="inlineStr">
        <is>
          <t>whitetail</t>
        </is>
      </c>
      <c r="D1081" s="4" t="n">
        <v>2022</v>
      </c>
      <c r="E1081" s="5" t="n"/>
      <c r="F1081" s="5" t="n"/>
      <c r="G1081" s="5" t="n">
        <v>396</v>
      </c>
      <c r="H1081" s="10">
        <f>IF(E1081&gt;0,G1081/E1081,"")</f>
        <v/>
      </c>
      <c r="I1081" s="11">
        <f>IF(AND(F1081&gt;0,G1081&gt;0),F1081/G1081,"")</f>
        <v/>
      </c>
    </row>
    <row r="1082">
      <c r="A1082" s="4" t="inlineStr">
        <is>
          <t>380</t>
        </is>
      </c>
      <c r="B1082" s="4" t="n">
        <v>3</v>
      </c>
      <c r="C1082" s="4" t="inlineStr">
        <is>
          <t>whitetail</t>
        </is>
      </c>
      <c r="D1082" s="4" t="n">
        <v>2023</v>
      </c>
      <c r="E1082" s="5" t="n">
        <v>1770</v>
      </c>
      <c r="F1082" s="5" t="n">
        <v>12249</v>
      </c>
      <c r="G1082" s="5" t="n">
        <v>360</v>
      </c>
      <c r="H1082" s="10">
        <f>IF(E1082&gt;0,G1082/E1082,"")</f>
        <v/>
      </c>
      <c r="I1082" s="11">
        <f>IF(AND(F1082&gt;0,G1082&gt;0),F1082/G1082,"")</f>
        <v/>
      </c>
    </row>
    <row r="1083">
      <c r="A1083" s="4" t="inlineStr">
        <is>
          <t>380</t>
        </is>
      </c>
      <c r="B1083" s="4" t="n">
        <v>3</v>
      </c>
      <c r="C1083" s="4" t="inlineStr">
        <is>
          <t>whitetail</t>
        </is>
      </c>
      <c r="D1083" s="4" t="n">
        <v>2024</v>
      </c>
      <c r="E1083" s="5" t="n"/>
      <c r="F1083" s="5" t="n"/>
      <c r="G1083" s="5" t="n">
        <v>443</v>
      </c>
      <c r="H1083" s="10">
        <f>IF(E1083&gt;0,G1083/E1083,"")</f>
        <v/>
      </c>
      <c r="I1083" s="11">
        <f>IF(AND(F1083&gt;0,G1083&gt;0),F1083/G1083,"")</f>
        <v/>
      </c>
    </row>
    <row r="1084">
      <c r="A1084" s="4" t="inlineStr">
        <is>
          <t>380</t>
        </is>
      </c>
      <c r="B1084" s="4" t="n">
        <v>3</v>
      </c>
      <c r="C1084" s="4" t="inlineStr">
        <is>
          <t>whitetail</t>
        </is>
      </c>
      <c r="D1084" s="4" t="n">
        <v>2025</v>
      </c>
      <c r="E1084" s="5" t="n">
        <v>1915</v>
      </c>
      <c r="F1084" s="5" t="n">
        <v>12062</v>
      </c>
      <c r="G1084" s="5" t="n">
        <v>366</v>
      </c>
      <c r="H1084" s="10">
        <f>IF(E1084&gt;0,G1084/E1084,"")</f>
        <v/>
      </c>
      <c r="I1084" s="11">
        <f>IF(AND(F1084&gt;0,G1084&gt;0),F1084/G1084,"")</f>
        <v/>
      </c>
    </row>
    <row r="1085">
      <c r="A1085" s="4" t="inlineStr">
        <is>
          <t>388</t>
        </is>
      </c>
      <c r="B1085" s="4" t="n">
        <v>3</v>
      </c>
      <c r="C1085" s="4" t="inlineStr">
        <is>
          <t>whitetail</t>
        </is>
      </c>
      <c r="D1085" s="4" t="n">
        <v>2021</v>
      </c>
      <c r="E1085" s="5" t="n">
        <v>431</v>
      </c>
      <c r="F1085" s="5" t="n">
        <v>2635</v>
      </c>
      <c r="G1085" s="5" t="n">
        <v>137</v>
      </c>
      <c r="H1085" s="10">
        <f>IF(E1085&gt;0,G1085/E1085,"")</f>
        <v/>
      </c>
      <c r="I1085" s="11">
        <f>IF(AND(F1085&gt;0,G1085&gt;0),F1085/G1085,"")</f>
        <v/>
      </c>
    </row>
    <row r="1086">
      <c r="A1086" s="4" t="inlineStr">
        <is>
          <t>388</t>
        </is>
      </c>
      <c r="B1086" s="4" t="n">
        <v>3</v>
      </c>
      <c r="C1086" s="4" t="inlineStr">
        <is>
          <t>whitetail</t>
        </is>
      </c>
      <c r="D1086" s="4" t="n">
        <v>2022</v>
      </c>
      <c r="E1086" s="5" t="n"/>
      <c r="F1086" s="5" t="n"/>
      <c r="G1086" s="5" t="n">
        <v>161</v>
      </c>
      <c r="H1086" s="10">
        <f>IF(E1086&gt;0,G1086/E1086,"")</f>
        <v/>
      </c>
      <c r="I1086" s="11">
        <f>IF(AND(F1086&gt;0,G1086&gt;0),F1086/G1086,"")</f>
        <v/>
      </c>
    </row>
    <row r="1087">
      <c r="A1087" s="4" t="inlineStr">
        <is>
          <t>388</t>
        </is>
      </c>
      <c r="B1087" s="4" t="n">
        <v>3</v>
      </c>
      <c r="C1087" s="4" t="inlineStr">
        <is>
          <t>whitetail</t>
        </is>
      </c>
      <c r="D1087" s="4" t="n">
        <v>2023</v>
      </c>
      <c r="E1087" s="5" t="n">
        <v>562</v>
      </c>
      <c r="F1087" s="5" t="n">
        <v>3479</v>
      </c>
      <c r="G1087" s="5" t="n">
        <v>185</v>
      </c>
      <c r="H1087" s="10">
        <f>IF(E1087&gt;0,G1087/E1087,"")</f>
        <v/>
      </c>
      <c r="I1087" s="11">
        <f>IF(AND(F1087&gt;0,G1087&gt;0),F1087/G1087,"")</f>
        <v/>
      </c>
    </row>
    <row r="1088">
      <c r="A1088" s="4" t="inlineStr">
        <is>
          <t>388</t>
        </is>
      </c>
      <c r="B1088" s="4" t="n">
        <v>3</v>
      </c>
      <c r="C1088" s="4" t="inlineStr">
        <is>
          <t>whitetail</t>
        </is>
      </c>
      <c r="D1088" s="4" t="n">
        <v>2024</v>
      </c>
      <c r="E1088" s="5" t="n"/>
      <c r="F1088" s="5" t="n"/>
      <c r="G1088" s="5" t="n">
        <v>175</v>
      </c>
      <c r="H1088" s="10">
        <f>IF(E1088&gt;0,G1088/E1088,"")</f>
        <v/>
      </c>
      <c r="I1088" s="11">
        <f>IF(AND(F1088&gt;0,G1088&gt;0),F1088/G1088,"")</f>
        <v/>
      </c>
    </row>
    <row r="1089">
      <c r="A1089" s="4" t="inlineStr">
        <is>
          <t>388</t>
        </is>
      </c>
      <c r="B1089" s="4" t="n">
        <v>3</v>
      </c>
      <c r="C1089" s="4" t="inlineStr">
        <is>
          <t>whitetail</t>
        </is>
      </c>
      <c r="D1089" s="4" t="n">
        <v>2025</v>
      </c>
      <c r="E1089" s="5" t="n">
        <v>518</v>
      </c>
      <c r="F1089" s="5" t="n">
        <v>3176</v>
      </c>
      <c r="G1089" s="5" t="n">
        <v>145</v>
      </c>
      <c r="H1089" s="10">
        <f>IF(E1089&gt;0,G1089/E1089,"")</f>
        <v/>
      </c>
      <c r="I1089" s="11">
        <f>IF(AND(F1089&gt;0,G1089&gt;0),F1089/G1089,"")</f>
        <v/>
      </c>
    </row>
    <row r="1090">
      <c r="A1090" s="4" t="inlineStr">
        <is>
          <t>390</t>
        </is>
      </c>
      <c r="B1090" s="4" t="n">
        <v>3</v>
      </c>
      <c r="C1090" s="4" t="inlineStr">
        <is>
          <t>whitetail</t>
        </is>
      </c>
      <c r="D1090" s="4" t="n">
        <v>2021</v>
      </c>
      <c r="E1090" s="5" t="n">
        <v>584</v>
      </c>
      <c r="F1090" s="5" t="n">
        <v>3853</v>
      </c>
      <c r="G1090" s="5" t="n">
        <v>71</v>
      </c>
      <c r="H1090" s="10">
        <f>IF(E1090&gt;0,G1090/E1090,"")</f>
        <v/>
      </c>
      <c r="I1090" s="11">
        <f>IF(AND(F1090&gt;0,G1090&gt;0),F1090/G1090,"")</f>
        <v/>
      </c>
    </row>
    <row r="1091">
      <c r="A1091" s="4" t="inlineStr">
        <is>
          <t>390</t>
        </is>
      </c>
      <c r="B1091" s="4" t="n">
        <v>3</v>
      </c>
      <c r="C1091" s="4" t="inlineStr">
        <is>
          <t>whitetail</t>
        </is>
      </c>
      <c r="D1091" s="4" t="n">
        <v>2022</v>
      </c>
      <c r="E1091" s="5" t="n"/>
      <c r="F1091" s="5" t="n"/>
      <c r="G1091" s="5" t="n">
        <v>84</v>
      </c>
      <c r="H1091" s="10">
        <f>IF(E1091&gt;0,G1091/E1091,"")</f>
        <v/>
      </c>
      <c r="I1091" s="11">
        <f>IF(AND(F1091&gt;0,G1091&gt;0),F1091/G1091,"")</f>
        <v/>
      </c>
    </row>
    <row r="1092">
      <c r="A1092" s="4" t="inlineStr">
        <is>
          <t>390</t>
        </is>
      </c>
      <c r="B1092" s="4" t="n">
        <v>3</v>
      </c>
      <c r="C1092" s="4" t="inlineStr">
        <is>
          <t>whitetail</t>
        </is>
      </c>
      <c r="D1092" s="4" t="n">
        <v>2023</v>
      </c>
      <c r="E1092" s="5" t="n">
        <v>666</v>
      </c>
      <c r="F1092" s="5" t="n">
        <v>4513</v>
      </c>
      <c r="G1092" s="5" t="n">
        <v>72</v>
      </c>
      <c r="H1092" s="10">
        <f>IF(E1092&gt;0,G1092/E1092,"")</f>
        <v/>
      </c>
      <c r="I1092" s="11">
        <f>IF(AND(F1092&gt;0,G1092&gt;0),F1092/G1092,"")</f>
        <v/>
      </c>
    </row>
    <row r="1093">
      <c r="A1093" s="4" t="inlineStr">
        <is>
          <t>390</t>
        </is>
      </c>
      <c r="B1093" s="4" t="n">
        <v>3</v>
      </c>
      <c r="C1093" s="4" t="inlineStr">
        <is>
          <t>whitetail</t>
        </is>
      </c>
      <c r="D1093" s="4" t="n">
        <v>2024</v>
      </c>
      <c r="E1093" s="5" t="n"/>
      <c r="F1093" s="5" t="n"/>
      <c r="G1093" s="5" t="n">
        <v>128</v>
      </c>
      <c r="H1093" s="10">
        <f>IF(E1093&gt;0,G1093/E1093,"")</f>
        <v/>
      </c>
      <c r="I1093" s="11">
        <f>IF(AND(F1093&gt;0,G1093&gt;0),F1093/G1093,"")</f>
        <v/>
      </c>
    </row>
    <row r="1094">
      <c r="A1094" s="4" t="inlineStr">
        <is>
          <t>390</t>
        </is>
      </c>
      <c r="B1094" s="4" t="n">
        <v>3</v>
      </c>
      <c r="C1094" s="4" t="inlineStr">
        <is>
          <t>whitetail</t>
        </is>
      </c>
      <c r="D1094" s="4" t="n">
        <v>2025</v>
      </c>
      <c r="E1094" s="5" t="n">
        <v>715</v>
      </c>
      <c r="F1094" s="5" t="n">
        <v>4935</v>
      </c>
      <c r="G1094" s="5" t="n">
        <v>70</v>
      </c>
      <c r="H1094" s="10">
        <f>IF(E1094&gt;0,G1094/E1094,"")</f>
        <v/>
      </c>
      <c r="I1094" s="11">
        <f>IF(AND(F1094&gt;0,G1094&gt;0),F1094/G1094,"")</f>
        <v/>
      </c>
    </row>
    <row r="1095">
      <c r="A1095" s="4" t="inlineStr">
        <is>
          <t>391</t>
        </is>
      </c>
      <c r="B1095" s="4" t="n">
        <v>3</v>
      </c>
      <c r="C1095" s="4" t="inlineStr">
        <is>
          <t>whitetail</t>
        </is>
      </c>
      <c r="D1095" s="4" t="n">
        <v>2021</v>
      </c>
      <c r="E1095" s="5" t="n">
        <v>1595</v>
      </c>
      <c r="F1095" s="5" t="n">
        <v>11068</v>
      </c>
      <c r="G1095" s="5" t="n">
        <v>160</v>
      </c>
      <c r="H1095" s="10">
        <f>IF(E1095&gt;0,G1095/E1095,"")</f>
        <v/>
      </c>
      <c r="I1095" s="11">
        <f>IF(AND(F1095&gt;0,G1095&gt;0),F1095/G1095,"")</f>
        <v/>
      </c>
    </row>
    <row r="1096">
      <c r="A1096" s="4" t="inlineStr">
        <is>
          <t>391</t>
        </is>
      </c>
      <c r="B1096" s="4" t="n">
        <v>3</v>
      </c>
      <c r="C1096" s="4" t="inlineStr">
        <is>
          <t>whitetail</t>
        </is>
      </c>
      <c r="D1096" s="4" t="n">
        <v>2022</v>
      </c>
      <c r="E1096" s="5" t="n"/>
      <c r="F1096" s="5" t="n"/>
      <c r="G1096" s="5" t="n">
        <v>214</v>
      </c>
      <c r="H1096" s="10">
        <f>IF(E1096&gt;0,G1096/E1096,"")</f>
        <v/>
      </c>
      <c r="I1096" s="11">
        <f>IF(AND(F1096&gt;0,G1096&gt;0),F1096/G1096,"")</f>
        <v/>
      </c>
    </row>
    <row r="1097">
      <c r="A1097" s="4" t="inlineStr">
        <is>
          <t>391</t>
        </is>
      </c>
      <c r="B1097" s="4" t="n">
        <v>3</v>
      </c>
      <c r="C1097" s="4" t="inlineStr">
        <is>
          <t>whitetail</t>
        </is>
      </c>
      <c r="D1097" s="4" t="n">
        <v>2023</v>
      </c>
      <c r="E1097" s="5" t="n">
        <v>1809</v>
      </c>
      <c r="F1097" s="5" t="n">
        <v>12961</v>
      </c>
      <c r="G1097" s="5" t="n">
        <v>220</v>
      </c>
      <c r="H1097" s="10">
        <f>IF(E1097&gt;0,G1097/E1097,"")</f>
        <v/>
      </c>
      <c r="I1097" s="11">
        <f>IF(AND(F1097&gt;0,G1097&gt;0),F1097/G1097,"")</f>
        <v/>
      </c>
    </row>
    <row r="1098">
      <c r="A1098" s="4" t="inlineStr">
        <is>
          <t>391</t>
        </is>
      </c>
      <c r="B1098" s="4" t="n">
        <v>3</v>
      </c>
      <c r="C1098" s="4" t="inlineStr">
        <is>
          <t>whitetail</t>
        </is>
      </c>
      <c r="D1098" s="4" t="n">
        <v>2024</v>
      </c>
      <c r="E1098" s="5" t="n"/>
      <c r="F1098" s="5" t="n"/>
      <c r="G1098" s="5" t="n">
        <v>238</v>
      </c>
      <c r="H1098" s="10">
        <f>IF(E1098&gt;0,G1098/E1098,"")</f>
        <v/>
      </c>
      <c r="I1098" s="11">
        <f>IF(AND(F1098&gt;0,G1098&gt;0),F1098/G1098,"")</f>
        <v/>
      </c>
    </row>
    <row r="1099">
      <c r="A1099" s="4" t="inlineStr">
        <is>
          <t>391</t>
        </is>
      </c>
      <c r="B1099" s="4" t="n">
        <v>3</v>
      </c>
      <c r="C1099" s="4" t="inlineStr">
        <is>
          <t>whitetail</t>
        </is>
      </c>
      <c r="D1099" s="4" t="n">
        <v>2025</v>
      </c>
      <c r="E1099" s="5" t="n">
        <v>1880</v>
      </c>
      <c r="F1099" s="5" t="n">
        <v>13605</v>
      </c>
      <c r="G1099" s="5" t="n">
        <v>229</v>
      </c>
      <c r="H1099" s="10">
        <f>IF(E1099&gt;0,G1099/E1099,"")</f>
        <v/>
      </c>
      <c r="I1099" s="11">
        <f>IF(AND(F1099&gt;0,G1099&gt;0),F1099/G1099,"")</f>
        <v/>
      </c>
    </row>
    <row r="1100">
      <c r="A1100" s="4" t="inlineStr">
        <is>
          <t>392</t>
        </is>
      </c>
      <c r="B1100" s="4" t="n">
        <v>3</v>
      </c>
      <c r="C1100" s="4" t="inlineStr">
        <is>
          <t>whitetail</t>
        </is>
      </c>
      <c r="D1100" s="4" t="n">
        <v>2021</v>
      </c>
      <c r="E1100" s="5" t="n">
        <v>518</v>
      </c>
      <c r="F1100" s="5" t="n">
        <v>3500</v>
      </c>
      <c r="G1100" s="5" t="n">
        <v>38</v>
      </c>
      <c r="H1100" s="10">
        <f>IF(E1100&gt;0,G1100/E1100,"")</f>
        <v/>
      </c>
      <c r="I1100" s="11">
        <f>IF(AND(F1100&gt;0,G1100&gt;0),F1100/G1100,"")</f>
        <v/>
      </c>
    </row>
    <row r="1101">
      <c r="A1101" s="4" t="inlineStr">
        <is>
          <t>392</t>
        </is>
      </c>
      <c r="B1101" s="4" t="n">
        <v>3</v>
      </c>
      <c r="C1101" s="4" t="inlineStr">
        <is>
          <t>whitetail</t>
        </is>
      </c>
      <c r="D1101" s="4" t="n">
        <v>2022</v>
      </c>
      <c r="E1101" s="5" t="n"/>
      <c r="F1101" s="5" t="n"/>
      <c r="G1101" s="5" t="n">
        <v>50</v>
      </c>
      <c r="H1101" s="10">
        <f>IF(E1101&gt;0,G1101/E1101,"")</f>
        <v/>
      </c>
      <c r="I1101" s="11">
        <f>IF(AND(F1101&gt;0,G1101&gt;0),F1101/G1101,"")</f>
        <v/>
      </c>
    </row>
    <row r="1102">
      <c r="A1102" s="4" t="inlineStr">
        <is>
          <t>392</t>
        </is>
      </c>
      <c r="B1102" s="4" t="n">
        <v>3</v>
      </c>
      <c r="C1102" s="4" t="inlineStr">
        <is>
          <t>whitetail</t>
        </is>
      </c>
      <c r="D1102" s="4" t="n">
        <v>2023</v>
      </c>
      <c r="E1102" s="5" t="n">
        <v>649</v>
      </c>
      <c r="F1102" s="5" t="n">
        <v>4216</v>
      </c>
      <c r="G1102" s="5" t="n">
        <v>40</v>
      </c>
      <c r="H1102" s="10">
        <f>IF(E1102&gt;0,G1102/E1102,"")</f>
        <v/>
      </c>
      <c r="I1102" s="11">
        <f>IF(AND(F1102&gt;0,G1102&gt;0),F1102/G1102,"")</f>
        <v/>
      </c>
    </row>
    <row r="1103">
      <c r="A1103" s="4" t="inlineStr">
        <is>
          <t>392</t>
        </is>
      </c>
      <c r="B1103" s="4" t="n">
        <v>3</v>
      </c>
      <c r="C1103" s="4" t="inlineStr">
        <is>
          <t>whitetail</t>
        </is>
      </c>
      <c r="D1103" s="4" t="n">
        <v>2024</v>
      </c>
      <c r="E1103" s="5" t="n"/>
      <c r="F1103" s="5" t="n"/>
      <c r="G1103" s="5" t="n">
        <v>11</v>
      </c>
      <c r="H1103" s="10">
        <f>IF(E1103&gt;0,G1103/E1103,"")</f>
        <v/>
      </c>
      <c r="I1103" s="11">
        <f>IF(AND(F1103&gt;0,G1103&gt;0),F1103/G1103,"")</f>
        <v/>
      </c>
    </row>
    <row r="1104">
      <c r="A1104" s="4" t="inlineStr">
        <is>
          <t>392</t>
        </is>
      </c>
      <c r="B1104" s="4" t="n">
        <v>3</v>
      </c>
      <c r="C1104" s="4" t="inlineStr">
        <is>
          <t>whitetail</t>
        </is>
      </c>
      <c r="D1104" s="4" t="n">
        <v>2025</v>
      </c>
      <c r="E1104" s="5" t="n">
        <v>691</v>
      </c>
      <c r="F1104" s="5" t="n">
        <v>5085</v>
      </c>
      <c r="G1104" s="5" t="n">
        <v>14</v>
      </c>
      <c r="H1104" s="10">
        <f>IF(E1104&gt;0,G1104/E1104,"")</f>
        <v/>
      </c>
      <c r="I1104" s="11">
        <f>IF(AND(F1104&gt;0,G1104&gt;0),F1104/G1104,"")</f>
        <v/>
      </c>
    </row>
    <row r="1105">
      <c r="A1105" s="4" t="inlineStr">
        <is>
          <t>393</t>
        </is>
      </c>
      <c r="B1105" s="4" t="n">
        <v>3</v>
      </c>
      <c r="C1105" s="4" t="inlineStr">
        <is>
          <t>whitetail</t>
        </is>
      </c>
      <c r="D1105" s="4" t="n">
        <v>2021</v>
      </c>
      <c r="E1105" s="5" t="n">
        <v>1405</v>
      </c>
      <c r="F1105" s="5" t="n">
        <v>9290</v>
      </c>
      <c r="G1105" s="5" t="n">
        <v>218</v>
      </c>
      <c r="H1105" s="10">
        <f>IF(E1105&gt;0,G1105/E1105,"")</f>
        <v/>
      </c>
      <c r="I1105" s="11">
        <f>IF(AND(F1105&gt;0,G1105&gt;0),F1105/G1105,"")</f>
        <v/>
      </c>
    </row>
    <row r="1106">
      <c r="A1106" s="4" t="inlineStr">
        <is>
          <t>393</t>
        </is>
      </c>
      <c r="B1106" s="4" t="n">
        <v>3</v>
      </c>
      <c r="C1106" s="4" t="inlineStr">
        <is>
          <t>whitetail</t>
        </is>
      </c>
      <c r="D1106" s="4" t="n">
        <v>2022</v>
      </c>
      <c r="E1106" s="5" t="n"/>
      <c r="F1106" s="5" t="n"/>
      <c r="G1106" s="5" t="n">
        <v>246</v>
      </c>
      <c r="H1106" s="10">
        <f>IF(E1106&gt;0,G1106/E1106,"")</f>
        <v/>
      </c>
      <c r="I1106" s="11">
        <f>IF(AND(F1106&gt;0,G1106&gt;0),F1106/G1106,"")</f>
        <v/>
      </c>
    </row>
    <row r="1107">
      <c r="A1107" s="4" t="inlineStr">
        <is>
          <t>393</t>
        </is>
      </c>
      <c r="B1107" s="4" t="n">
        <v>3</v>
      </c>
      <c r="C1107" s="4" t="inlineStr">
        <is>
          <t>whitetail</t>
        </is>
      </c>
      <c r="D1107" s="4" t="n">
        <v>2023</v>
      </c>
      <c r="E1107" s="5" t="n">
        <v>1548</v>
      </c>
      <c r="F1107" s="5" t="n">
        <v>9702</v>
      </c>
      <c r="G1107" s="5" t="n">
        <v>233</v>
      </c>
      <c r="H1107" s="10">
        <f>IF(E1107&gt;0,G1107/E1107,"")</f>
        <v/>
      </c>
      <c r="I1107" s="11">
        <f>IF(AND(F1107&gt;0,G1107&gt;0),F1107/G1107,"")</f>
        <v/>
      </c>
    </row>
    <row r="1108">
      <c r="A1108" s="4" t="inlineStr">
        <is>
          <t>393</t>
        </is>
      </c>
      <c r="B1108" s="4" t="n">
        <v>3</v>
      </c>
      <c r="C1108" s="4" t="inlineStr">
        <is>
          <t>whitetail</t>
        </is>
      </c>
      <c r="D1108" s="4" t="n">
        <v>2024</v>
      </c>
      <c r="E1108" s="5" t="n"/>
      <c r="F1108" s="5" t="n"/>
      <c r="G1108" s="5" t="n">
        <v>251</v>
      </c>
      <c r="H1108" s="10">
        <f>IF(E1108&gt;0,G1108/E1108,"")</f>
        <v/>
      </c>
      <c r="I1108" s="11">
        <f>IF(AND(F1108&gt;0,G1108&gt;0),F1108/G1108,"")</f>
        <v/>
      </c>
    </row>
    <row r="1109">
      <c r="A1109" s="4" t="inlineStr">
        <is>
          <t>393</t>
        </is>
      </c>
      <c r="B1109" s="4" t="n">
        <v>3</v>
      </c>
      <c r="C1109" s="4" t="inlineStr">
        <is>
          <t>whitetail</t>
        </is>
      </c>
      <c r="D1109" s="4" t="n">
        <v>2025</v>
      </c>
      <c r="E1109" s="5" t="n">
        <v>1671</v>
      </c>
      <c r="F1109" s="5" t="n">
        <v>9555</v>
      </c>
      <c r="G1109" s="5" t="n">
        <v>244</v>
      </c>
      <c r="H1109" s="10">
        <f>IF(E1109&gt;0,G1109/E1109,"")</f>
        <v/>
      </c>
      <c r="I1109" s="11">
        <f>IF(AND(F1109&gt;0,G1109&gt;0),F1109/G1109,"")</f>
        <v/>
      </c>
    </row>
    <row r="1110">
      <c r="A1110" s="4" t="inlineStr">
        <is>
          <t>400</t>
        </is>
      </c>
      <c r="B1110" s="4" t="n">
        <v>4</v>
      </c>
      <c r="C1110" s="4" t="inlineStr">
        <is>
          <t>whitetail</t>
        </is>
      </c>
      <c r="D1110" s="4" t="n">
        <v>2021</v>
      </c>
      <c r="E1110" s="5" t="n">
        <v>1769</v>
      </c>
      <c r="F1110" s="5" t="n">
        <v>8700</v>
      </c>
      <c r="G1110" s="5" t="n">
        <v>408</v>
      </c>
      <c r="H1110" s="10">
        <f>IF(E1110&gt;0,G1110/E1110,"")</f>
        <v/>
      </c>
      <c r="I1110" s="11">
        <f>IF(AND(F1110&gt;0,G1110&gt;0),F1110/G1110,"")</f>
        <v/>
      </c>
    </row>
    <row r="1111">
      <c r="A1111" s="4" t="inlineStr">
        <is>
          <t>400</t>
        </is>
      </c>
      <c r="B1111" s="4" t="n">
        <v>4</v>
      </c>
      <c r="C1111" s="4" t="inlineStr">
        <is>
          <t>whitetail</t>
        </is>
      </c>
      <c r="D1111" s="4" t="n">
        <v>2022</v>
      </c>
      <c r="E1111" s="5" t="n"/>
      <c r="F1111" s="5" t="n"/>
      <c r="G1111" s="5" t="n">
        <v>392</v>
      </c>
      <c r="H1111" s="10">
        <f>IF(E1111&gt;0,G1111/E1111,"")</f>
        <v/>
      </c>
      <c r="I1111" s="11">
        <f>IF(AND(F1111&gt;0,G1111&gt;0),F1111/G1111,"")</f>
        <v/>
      </c>
    </row>
    <row r="1112">
      <c r="A1112" s="4" t="inlineStr">
        <is>
          <t>400</t>
        </is>
      </c>
      <c r="B1112" s="4" t="n">
        <v>4</v>
      </c>
      <c r="C1112" s="4" t="inlineStr">
        <is>
          <t>whitetail</t>
        </is>
      </c>
      <c r="D1112" s="4" t="n">
        <v>2023</v>
      </c>
      <c r="E1112" s="5" t="n">
        <v>1918</v>
      </c>
      <c r="F1112" s="5" t="n">
        <v>10431</v>
      </c>
      <c r="G1112" s="5" t="n">
        <v>465</v>
      </c>
      <c r="H1112" s="10">
        <f>IF(E1112&gt;0,G1112/E1112,"")</f>
        <v/>
      </c>
      <c r="I1112" s="11">
        <f>IF(AND(F1112&gt;0,G1112&gt;0),F1112/G1112,"")</f>
        <v/>
      </c>
    </row>
    <row r="1113">
      <c r="A1113" s="4" t="inlineStr">
        <is>
          <t>400</t>
        </is>
      </c>
      <c r="B1113" s="4" t="n">
        <v>4</v>
      </c>
      <c r="C1113" s="4" t="inlineStr">
        <is>
          <t>whitetail</t>
        </is>
      </c>
      <c r="D1113" s="4" t="n">
        <v>2024</v>
      </c>
      <c r="E1113" s="5" t="n"/>
      <c r="F1113" s="5" t="n"/>
      <c r="G1113" s="5" t="n">
        <v>435</v>
      </c>
      <c r="H1113" s="10">
        <f>IF(E1113&gt;0,G1113/E1113,"")</f>
        <v/>
      </c>
      <c r="I1113" s="11">
        <f>IF(AND(F1113&gt;0,G1113&gt;0),F1113/G1113,"")</f>
        <v/>
      </c>
    </row>
    <row r="1114">
      <c r="A1114" s="4" t="inlineStr">
        <is>
          <t>400</t>
        </is>
      </c>
      <c r="B1114" s="4" t="n">
        <v>4</v>
      </c>
      <c r="C1114" s="4" t="inlineStr">
        <is>
          <t>whitetail</t>
        </is>
      </c>
      <c r="D1114" s="4" t="n">
        <v>2025</v>
      </c>
      <c r="E1114" s="5" t="n">
        <v>2000</v>
      </c>
      <c r="F1114" s="5" t="n">
        <v>12562</v>
      </c>
      <c r="G1114" s="5" t="n">
        <v>366</v>
      </c>
      <c r="H1114" s="10">
        <f>IF(E1114&gt;0,G1114/E1114,"")</f>
        <v/>
      </c>
      <c r="I1114" s="11">
        <f>IF(AND(F1114&gt;0,G1114&gt;0),F1114/G1114,"")</f>
        <v/>
      </c>
    </row>
    <row r="1115">
      <c r="A1115" s="4" t="inlineStr">
        <is>
          <t>401</t>
        </is>
      </c>
      <c r="B1115" s="4" t="n">
        <v>4</v>
      </c>
      <c r="C1115" s="4" t="inlineStr">
        <is>
          <t>whitetail</t>
        </is>
      </c>
      <c r="D1115" s="4" t="n">
        <v>2021</v>
      </c>
      <c r="E1115" s="5" t="n">
        <v>1330</v>
      </c>
      <c r="F1115" s="5" t="n">
        <v>6942</v>
      </c>
      <c r="G1115" s="5" t="n">
        <v>337</v>
      </c>
      <c r="H1115" s="10">
        <f>IF(E1115&gt;0,G1115/E1115,"")</f>
        <v/>
      </c>
      <c r="I1115" s="11">
        <f>IF(AND(F1115&gt;0,G1115&gt;0),F1115/G1115,"")</f>
        <v/>
      </c>
    </row>
    <row r="1116">
      <c r="A1116" s="4" t="inlineStr">
        <is>
          <t>401</t>
        </is>
      </c>
      <c r="B1116" s="4" t="n">
        <v>4</v>
      </c>
      <c r="C1116" s="4" t="inlineStr">
        <is>
          <t>whitetail</t>
        </is>
      </c>
      <c r="D1116" s="4" t="n">
        <v>2022</v>
      </c>
      <c r="E1116" s="5" t="n"/>
      <c r="F1116" s="5" t="n"/>
      <c r="G1116" s="5" t="n">
        <v>406</v>
      </c>
      <c r="H1116" s="10">
        <f>IF(E1116&gt;0,G1116/E1116,"")</f>
        <v/>
      </c>
      <c r="I1116" s="11">
        <f>IF(AND(F1116&gt;0,G1116&gt;0),F1116/G1116,"")</f>
        <v/>
      </c>
    </row>
    <row r="1117">
      <c r="A1117" s="4" t="inlineStr">
        <is>
          <t>401</t>
        </is>
      </c>
      <c r="B1117" s="4" t="n">
        <v>4</v>
      </c>
      <c r="C1117" s="4" t="inlineStr">
        <is>
          <t>whitetail</t>
        </is>
      </c>
      <c r="D1117" s="4" t="n">
        <v>2023</v>
      </c>
      <c r="E1117" s="5" t="n">
        <v>1392</v>
      </c>
      <c r="F1117" s="5" t="n">
        <v>7224</v>
      </c>
      <c r="G1117" s="5" t="n">
        <v>320</v>
      </c>
      <c r="H1117" s="10">
        <f>IF(E1117&gt;0,G1117/E1117,"")</f>
        <v/>
      </c>
      <c r="I1117" s="11">
        <f>IF(AND(F1117&gt;0,G1117&gt;0),F1117/G1117,"")</f>
        <v/>
      </c>
    </row>
    <row r="1118">
      <c r="A1118" s="4" t="inlineStr">
        <is>
          <t>401</t>
        </is>
      </c>
      <c r="B1118" s="4" t="n">
        <v>4</v>
      </c>
      <c r="C1118" s="4" t="inlineStr">
        <is>
          <t>whitetail</t>
        </is>
      </c>
      <c r="D1118" s="4" t="n">
        <v>2024</v>
      </c>
      <c r="E1118" s="5" t="n"/>
      <c r="F1118" s="5" t="n"/>
      <c r="G1118" s="5" t="n">
        <v>272</v>
      </c>
      <c r="H1118" s="10">
        <f>IF(E1118&gt;0,G1118/E1118,"")</f>
        <v/>
      </c>
      <c r="I1118" s="11">
        <f>IF(AND(F1118&gt;0,G1118&gt;0),F1118/G1118,"")</f>
        <v/>
      </c>
    </row>
    <row r="1119">
      <c r="A1119" s="4" t="inlineStr">
        <is>
          <t>401</t>
        </is>
      </c>
      <c r="B1119" s="4" t="n">
        <v>4</v>
      </c>
      <c r="C1119" s="4" t="inlineStr">
        <is>
          <t>whitetail</t>
        </is>
      </c>
      <c r="D1119" s="4" t="n">
        <v>2025</v>
      </c>
      <c r="E1119" s="5" t="n">
        <v>1204</v>
      </c>
      <c r="F1119" s="5" t="n">
        <v>6225</v>
      </c>
      <c r="G1119" s="5" t="n">
        <v>291</v>
      </c>
      <c r="H1119" s="10">
        <f>IF(E1119&gt;0,G1119/E1119,"")</f>
        <v/>
      </c>
      <c r="I1119" s="11">
        <f>IF(AND(F1119&gt;0,G1119&gt;0),F1119/G1119,"")</f>
        <v/>
      </c>
    </row>
    <row r="1120">
      <c r="A1120" s="4" t="inlineStr">
        <is>
          <t>403</t>
        </is>
      </c>
      <c r="B1120" s="4" t="n">
        <v>4</v>
      </c>
      <c r="C1120" s="4" t="inlineStr">
        <is>
          <t>whitetail</t>
        </is>
      </c>
      <c r="D1120" s="4" t="n">
        <v>2021</v>
      </c>
      <c r="E1120" s="5" t="n">
        <v>416</v>
      </c>
      <c r="F1120" s="5" t="n">
        <v>2110</v>
      </c>
      <c r="G1120" s="5" t="n">
        <v>55</v>
      </c>
      <c r="H1120" s="10">
        <f>IF(E1120&gt;0,G1120/E1120,"")</f>
        <v/>
      </c>
      <c r="I1120" s="11">
        <f>IF(AND(F1120&gt;0,G1120&gt;0),F1120/G1120,"")</f>
        <v/>
      </c>
    </row>
    <row r="1121">
      <c r="A1121" s="4" t="inlineStr">
        <is>
          <t>403</t>
        </is>
      </c>
      <c r="B1121" s="4" t="n">
        <v>4</v>
      </c>
      <c r="C1121" s="4" t="inlineStr">
        <is>
          <t>whitetail</t>
        </is>
      </c>
      <c r="D1121" s="4" t="n">
        <v>2022</v>
      </c>
      <c r="E1121" s="5" t="n"/>
      <c r="F1121" s="5" t="n"/>
      <c r="G1121" s="5" t="n">
        <v>68</v>
      </c>
      <c r="H1121" s="10">
        <f>IF(E1121&gt;0,G1121/E1121,"")</f>
        <v/>
      </c>
      <c r="I1121" s="11">
        <f>IF(AND(F1121&gt;0,G1121&gt;0),F1121/G1121,"")</f>
        <v/>
      </c>
    </row>
    <row r="1122">
      <c r="A1122" s="4" t="inlineStr">
        <is>
          <t>403</t>
        </is>
      </c>
      <c r="B1122" s="4" t="n">
        <v>4</v>
      </c>
      <c r="C1122" s="4" t="inlineStr">
        <is>
          <t>whitetail</t>
        </is>
      </c>
      <c r="D1122" s="4" t="n">
        <v>2023</v>
      </c>
      <c r="E1122" s="5" t="n">
        <v>461</v>
      </c>
      <c r="F1122" s="5" t="n">
        <v>2284</v>
      </c>
      <c r="G1122" s="5" t="n">
        <v>64</v>
      </c>
      <c r="H1122" s="10">
        <f>IF(E1122&gt;0,G1122/E1122,"")</f>
        <v/>
      </c>
      <c r="I1122" s="11">
        <f>IF(AND(F1122&gt;0,G1122&gt;0),F1122/G1122,"")</f>
        <v/>
      </c>
    </row>
    <row r="1123">
      <c r="A1123" s="4" t="inlineStr">
        <is>
          <t>403</t>
        </is>
      </c>
      <c r="B1123" s="4" t="n">
        <v>4</v>
      </c>
      <c r="C1123" s="4" t="inlineStr">
        <is>
          <t>whitetail</t>
        </is>
      </c>
      <c r="D1123" s="4" t="n">
        <v>2024</v>
      </c>
      <c r="E1123" s="5" t="n"/>
      <c r="F1123" s="5" t="n"/>
      <c r="G1123" s="5" t="n">
        <v>99</v>
      </c>
      <c r="H1123" s="10">
        <f>IF(E1123&gt;0,G1123/E1123,"")</f>
        <v/>
      </c>
      <c r="I1123" s="11">
        <f>IF(AND(F1123&gt;0,G1123&gt;0),F1123/G1123,"")</f>
        <v/>
      </c>
    </row>
    <row r="1124">
      <c r="A1124" s="4" t="inlineStr">
        <is>
          <t>403</t>
        </is>
      </c>
      <c r="B1124" s="4" t="n">
        <v>4</v>
      </c>
      <c r="C1124" s="4" t="inlineStr">
        <is>
          <t>whitetail</t>
        </is>
      </c>
      <c r="D1124" s="4" t="n">
        <v>2025</v>
      </c>
      <c r="E1124" s="5" t="n">
        <v>418</v>
      </c>
      <c r="F1124" s="5" t="n">
        <v>2149</v>
      </c>
      <c r="G1124" s="5" t="n">
        <v>42</v>
      </c>
      <c r="H1124" s="10">
        <f>IF(E1124&gt;0,G1124/E1124,"")</f>
        <v/>
      </c>
      <c r="I1124" s="11">
        <f>IF(AND(F1124&gt;0,G1124&gt;0),F1124/G1124,"")</f>
        <v/>
      </c>
    </row>
    <row r="1125">
      <c r="A1125" s="4" t="inlineStr">
        <is>
          <t>404</t>
        </is>
      </c>
      <c r="B1125" s="4" t="n">
        <v>4</v>
      </c>
      <c r="C1125" s="4" t="inlineStr">
        <is>
          <t>whitetail</t>
        </is>
      </c>
      <c r="D1125" s="4" t="n">
        <v>2021</v>
      </c>
      <c r="E1125" s="5" t="n">
        <v>1844</v>
      </c>
      <c r="F1125" s="5" t="n">
        <v>8999</v>
      </c>
      <c r="G1125" s="5" t="n">
        <v>608</v>
      </c>
      <c r="H1125" s="10">
        <f>IF(E1125&gt;0,G1125/E1125,"")</f>
        <v/>
      </c>
      <c r="I1125" s="11">
        <f>IF(AND(F1125&gt;0,G1125&gt;0),F1125/G1125,"")</f>
        <v/>
      </c>
    </row>
    <row r="1126">
      <c r="A1126" s="4" t="inlineStr">
        <is>
          <t>404</t>
        </is>
      </c>
      <c r="B1126" s="4" t="n">
        <v>4</v>
      </c>
      <c r="C1126" s="4" t="inlineStr">
        <is>
          <t>whitetail</t>
        </is>
      </c>
      <c r="D1126" s="4" t="n">
        <v>2022</v>
      </c>
      <c r="E1126" s="5" t="n"/>
      <c r="F1126" s="5" t="n"/>
      <c r="G1126" s="5" t="n">
        <v>710</v>
      </c>
      <c r="H1126" s="10">
        <f>IF(E1126&gt;0,G1126/E1126,"")</f>
        <v/>
      </c>
      <c r="I1126" s="11">
        <f>IF(AND(F1126&gt;0,G1126&gt;0),F1126/G1126,"")</f>
        <v/>
      </c>
    </row>
    <row r="1127">
      <c r="A1127" s="4" t="inlineStr">
        <is>
          <t>404</t>
        </is>
      </c>
      <c r="B1127" s="4" t="n">
        <v>4</v>
      </c>
      <c r="C1127" s="4" t="inlineStr">
        <is>
          <t>whitetail</t>
        </is>
      </c>
      <c r="D1127" s="4" t="n">
        <v>2023</v>
      </c>
      <c r="E1127" s="5" t="n">
        <v>1812</v>
      </c>
      <c r="F1127" s="5" t="n">
        <v>9049</v>
      </c>
      <c r="G1127" s="5" t="n">
        <v>580</v>
      </c>
      <c r="H1127" s="10">
        <f>IF(E1127&gt;0,G1127/E1127,"")</f>
        <v/>
      </c>
      <c r="I1127" s="11">
        <f>IF(AND(F1127&gt;0,G1127&gt;0),F1127/G1127,"")</f>
        <v/>
      </c>
    </row>
    <row r="1128">
      <c r="A1128" s="4" t="inlineStr">
        <is>
          <t>404</t>
        </is>
      </c>
      <c r="B1128" s="4" t="n">
        <v>4</v>
      </c>
      <c r="C1128" s="4" t="inlineStr">
        <is>
          <t>whitetail</t>
        </is>
      </c>
      <c r="D1128" s="4" t="n">
        <v>2024</v>
      </c>
      <c r="E1128" s="5" t="n"/>
      <c r="F1128" s="5" t="n"/>
      <c r="G1128" s="5" t="n">
        <v>574</v>
      </c>
      <c r="H1128" s="10">
        <f>IF(E1128&gt;0,G1128/E1128,"")</f>
        <v/>
      </c>
      <c r="I1128" s="11">
        <f>IF(AND(F1128&gt;0,G1128&gt;0),F1128/G1128,"")</f>
        <v/>
      </c>
    </row>
    <row r="1129">
      <c r="A1129" s="4" t="inlineStr">
        <is>
          <t>404</t>
        </is>
      </c>
      <c r="B1129" s="4" t="n">
        <v>4</v>
      </c>
      <c r="C1129" s="4" t="inlineStr">
        <is>
          <t>whitetail</t>
        </is>
      </c>
      <c r="D1129" s="4" t="n">
        <v>2025</v>
      </c>
      <c r="E1129" s="5" t="n">
        <v>1850</v>
      </c>
      <c r="F1129" s="5" t="n">
        <v>9575</v>
      </c>
      <c r="G1129" s="5" t="n">
        <v>503</v>
      </c>
      <c r="H1129" s="10">
        <f>IF(E1129&gt;0,G1129/E1129,"")</f>
        <v/>
      </c>
      <c r="I1129" s="11">
        <f>IF(AND(F1129&gt;0,G1129&gt;0),F1129/G1129,"")</f>
        <v/>
      </c>
    </row>
    <row r="1130">
      <c r="A1130" s="4" t="inlineStr">
        <is>
          <t>405</t>
        </is>
      </c>
      <c r="B1130" s="4" t="n">
        <v>4</v>
      </c>
      <c r="C1130" s="4" t="inlineStr">
        <is>
          <t>whitetail</t>
        </is>
      </c>
      <c r="D1130" s="4" t="n">
        <v>2021</v>
      </c>
      <c r="E1130" s="5" t="n">
        <v>968</v>
      </c>
      <c r="F1130" s="5" t="n">
        <v>4767</v>
      </c>
      <c r="G1130" s="5" t="n">
        <v>145</v>
      </c>
      <c r="H1130" s="10">
        <f>IF(E1130&gt;0,G1130/E1130,"")</f>
        <v/>
      </c>
      <c r="I1130" s="11">
        <f>IF(AND(F1130&gt;0,G1130&gt;0),F1130/G1130,"")</f>
        <v/>
      </c>
    </row>
    <row r="1131">
      <c r="A1131" s="4" t="inlineStr">
        <is>
          <t>405</t>
        </is>
      </c>
      <c r="B1131" s="4" t="n">
        <v>4</v>
      </c>
      <c r="C1131" s="4" t="inlineStr">
        <is>
          <t>whitetail</t>
        </is>
      </c>
      <c r="D1131" s="4" t="n">
        <v>2022</v>
      </c>
      <c r="E1131" s="5" t="n"/>
      <c r="F1131" s="5" t="n"/>
      <c r="G1131" s="5" t="n">
        <v>209</v>
      </c>
      <c r="H1131" s="10">
        <f>IF(E1131&gt;0,G1131/E1131,"")</f>
        <v/>
      </c>
      <c r="I1131" s="11">
        <f>IF(AND(F1131&gt;0,G1131&gt;0),F1131/G1131,"")</f>
        <v/>
      </c>
    </row>
    <row r="1132">
      <c r="A1132" s="4" t="inlineStr">
        <is>
          <t>405</t>
        </is>
      </c>
      <c r="B1132" s="4" t="n">
        <v>4</v>
      </c>
      <c r="C1132" s="4" t="inlineStr">
        <is>
          <t>whitetail</t>
        </is>
      </c>
      <c r="D1132" s="4" t="n">
        <v>2023</v>
      </c>
      <c r="E1132" s="5" t="n">
        <v>1131</v>
      </c>
      <c r="F1132" s="5" t="n">
        <v>5253</v>
      </c>
      <c r="G1132" s="5" t="n">
        <v>188</v>
      </c>
      <c r="H1132" s="10">
        <f>IF(E1132&gt;0,G1132/E1132,"")</f>
        <v/>
      </c>
      <c r="I1132" s="11">
        <f>IF(AND(F1132&gt;0,G1132&gt;0),F1132/G1132,"")</f>
        <v/>
      </c>
    </row>
    <row r="1133">
      <c r="A1133" s="4" t="inlineStr">
        <is>
          <t>405</t>
        </is>
      </c>
      <c r="B1133" s="4" t="n">
        <v>4</v>
      </c>
      <c r="C1133" s="4" t="inlineStr">
        <is>
          <t>whitetail</t>
        </is>
      </c>
      <c r="D1133" s="4" t="n">
        <v>2024</v>
      </c>
      <c r="E1133" s="5" t="n"/>
      <c r="F1133" s="5" t="n"/>
      <c r="G1133" s="5" t="n">
        <v>242</v>
      </c>
      <c r="H1133" s="10">
        <f>IF(E1133&gt;0,G1133/E1133,"")</f>
        <v/>
      </c>
      <c r="I1133" s="11">
        <f>IF(AND(F1133&gt;0,G1133&gt;0),F1133/G1133,"")</f>
        <v/>
      </c>
    </row>
    <row r="1134">
      <c r="A1134" s="4" t="inlineStr">
        <is>
          <t>405</t>
        </is>
      </c>
      <c r="B1134" s="4" t="n">
        <v>4</v>
      </c>
      <c r="C1134" s="4" t="inlineStr">
        <is>
          <t>whitetail</t>
        </is>
      </c>
      <c r="D1134" s="4" t="n">
        <v>2025</v>
      </c>
      <c r="E1134" s="5" t="n">
        <v>1279</v>
      </c>
      <c r="F1134" s="5" t="n">
        <v>6315</v>
      </c>
      <c r="G1134" s="5" t="n">
        <v>207</v>
      </c>
      <c r="H1134" s="10">
        <f>IF(E1134&gt;0,G1134/E1134,"")</f>
        <v/>
      </c>
      <c r="I1134" s="11">
        <f>IF(AND(F1134&gt;0,G1134&gt;0),F1134/G1134,"")</f>
        <v/>
      </c>
    </row>
    <row r="1135">
      <c r="A1135" s="4" t="inlineStr">
        <is>
          <t>406</t>
        </is>
      </c>
      <c r="B1135" s="4" t="n">
        <v>4</v>
      </c>
      <c r="C1135" s="4" t="inlineStr">
        <is>
          <t>whitetail</t>
        </is>
      </c>
      <c r="D1135" s="4" t="n">
        <v>2021</v>
      </c>
      <c r="E1135" s="5" t="n">
        <v>620</v>
      </c>
      <c r="F1135" s="5" t="n">
        <v>3176</v>
      </c>
      <c r="G1135" s="5" t="n">
        <v>276</v>
      </c>
      <c r="H1135" s="10">
        <f>IF(E1135&gt;0,G1135/E1135,"")</f>
        <v/>
      </c>
      <c r="I1135" s="11">
        <f>IF(AND(F1135&gt;0,G1135&gt;0),F1135/G1135,"")</f>
        <v/>
      </c>
    </row>
    <row r="1136">
      <c r="A1136" s="4" t="inlineStr">
        <is>
          <t>406</t>
        </is>
      </c>
      <c r="B1136" s="4" t="n">
        <v>4</v>
      </c>
      <c r="C1136" s="4" t="inlineStr">
        <is>
          <t>whitetail</t>
        </is>
      </c>
      <c r="D1136" s="4" t="n">
        <v>2022</v>
      </c>
      <c r="E1136" s="5" t="n"/>
      <c r="F1136" s="5" t="n"/>
      <c r="G1136" s="5" t="n">
        <v>295</v>
      </c>
      <c r="H1136" s="10">
        <f>IF(E1136&gt;0,G1136/E1136,"")</f>
        <v/>
      </c>
      <c r="I1136" s="11">
        <f>IF(AND(F1136&gt;0,G1136&gt;0),F1136/G1136,"")</f>
        <v/>
      </c>
    </row>
    <row r="1137">
      <c r="A1137" s="4" t="inlineStr">
        <is>
          <t>406</t>
        </is>
      </c>
      <c r="B1137" s="4" t="n">
        <v>4</v>
      </c>
      <c r="C1137" s="4" t="inlineStr">
        <is>
          <t>whitetail</t>
        </is>
      </c>
      <c r="D1137" s="4" t="n">
        <v>2023</v>
      </c>
      <c r="E1137" s="5" t="n">
        <v>715</v>
      </c>
      <c r="F1137" s="5" t="n">
        <v>3328</v>
      </c>
      <c r="G1137" s="5" t="n">
        <v>233</v>
      </c>
      <c r="H1137" s="10">
        <f>IF(E1137&gt;0,G1137/E1137,"")</f>
        <v/>
      </c>
      <c r="I1137" s="11">
        <f>IF(AND(F1137&gt;0,G1137&gt;0),F1137/G1137,"")</f>
        <v/>
      </c>
    </row>
    <row r="1138">
      <c r="A1138" s="4" t="inlineStr">
        <is>
          <t>406</t>
        </is>
      </c>
      <c r="B1138" s="4" t="n">
        <v>4</v>
      </c>
      <c r="C1138" s="4" t="inlineStr">
        <is>
          <t>whitetail</t>
        </is>
      </c>
      <c r="D1138" s="4" t="n">
        <v>2024</v>
      </c>
      <c r="E1138" s="5" t="n"/>
      <c r="F1138" s="5" t="n"/>
      <c r="G1138" s="5" t="n">
        <v>307</v>
      </c>
      <c r="H1138" s="10">
        <f>IF(E1138&gt;0,G1138/E1138,"")</f>
        <v/>
      </c>
      <c r="I1138" s="11">
        <f>IF(AND(F1138&gt;0,G1138&gt;0),F1138/G1138,"")</f>
        <v/>
      </c>
    </row>
    <row r="1139">
      <c r="A1139" s="4" t="inlineStr">
        <is>
          <t>406</t>
        </is>
      </c>
      <c r="B1139" s="4" t="n">
        <v>4</v>
      </c>
      <c r="C1139" s="4" t="inlineStr">
        <is>
          <t>whitetail</t>
        </is>
      </c>
      <c r="D1139" s="4" t="n">
        <v>2025</v>
      </c>
      <c r="E1139" s="5" t="n">
        <v>731</v>
      </c>
      <c r="F1139" s="5" t="n">
        <v>3305</v>
      </c>
      <c r="G1139" s="5" t="n">
        <v>207</v>
      </c>
      <c r="H1139" s="10">
        <f>IF(E1139&gt;0,G1139/E1139,"")</f>
        <v/>
      </c>
      <c r="I1139" s="11">
        <f>IF(AND(F1139&gt;0,G1139&gt;0),F1139/G1139,"")</f>
        <v/>
      </c>
    </row>
    <row r="1140">
      <c r="A1140" s="4" t="inlineStr">
        <is>
          <t>410</t>
        </is>
      </c>
      <c r="B1140" s="4" t="n">
        <v>4</v>
      </c>
      <c r="C1140" s="4" t="inlineStr">
        <is>
          <t>whitetail</t>
        </is>
      </c>
      <c r="D1140" s="4" t="n">
        <v>2021</v>
      </c>
      <c r="E1140" s="5" t="n">
        <v>2294</v>
      </c>
      <c r="F1140" s="5" t="n">
        <v>14143</v>
      </c>
      <c r="G1140" s="5" t="n">
        <v>114</v>
      </c>
      <c r="H1140" s="10">
        <f>IF(E1140&gt;0,G1140/E1140,"")</f>
        <v/>
      </c>
      <c r="I1140" s="11">
        <f>IF(AND(F1140&gt;0,G1140&gt;0),F1140/G1140,"")</f>
        <v/>
      </c>
    </row>
    <row r="1141">
      <c r="A1141" s="4" t="inlineStr">
        <is>
          <t>410</t>
        </is>
      </c>
      <c r="B1141" s="4" t="n">
        <v>4</v>
      </c>
      <c r="C1141" s="4" t="inlineStr">
        <is>
          <t>whitetail</t>
        </is>
      </c>
      <c r="D1141" s="4" t="n">
        <v>2022</v>
      </c>
      <c r="E1141" s="5" t="n"/>
      <c r="F1141" s="5" t="n"/>
      <c r="G1141" s="5" t="n">
        <v>143</v>
      </c>
      <c r="H1141" s="10">
        <f>IF(E1141&gt;0,G1141/E1141,"")</f>
        <v/>
      </c>
      <c r="I1141" s="11">
        <f>IF(AND(F1141&gt;0,G1141&gt;0),F1141/G1141,"")</f>
        <v/>
      </c>
    </row>
    <row r="1142">
      <c r="A1142" s="4" t="inlineStr">
        <is>
          <t>410</t>
        </is>
      </c>
      <c r="B1142" s="4" t="n">
        <v>4</v>
      </c>
      <c r="C1142" s="4" t="inlineStr">
        <is>
          <t>whitetail</t>
        </is>
      </c>
      <c r="D1142" s="4" t="n">
        <v>2023</v>
      </c>
      <c r="E1142" s="5" t="n">
        <v>1475</v>
      </c>
      <c r="F1142" s="5" t="n">
        <v>8791</v>
      </c>
      <c r="G1142" s="5" t="n">
        <v>92</v>
      </c>
      <c r="H1142" s="10">
        <f>IF(E1142&gt;0,G1142/E1142,"")</f>
        <v/>
      </c>
      <c r="I1142" s="11">
        <f>IF(AND(F1142&gt;0,G1142&gt;0),F1142/G1142,"")</f>
        <v/>
      </c>
    </row>
    <row r="1143">
      <c r="A1143" s="4" t="inlineStr">
        <is>
          <t>410</t>
        </is>
      </c>
      <c r="B1143" s="4" t="n">
        <v>4</v>
      </c>
      <c r="C1143" s="4" t="inlineStr">
        <is>
          <t>whitetail</t>
        </is>
      </c>
      <c r="D1143" s="4" t="n">
        <v>2024</v>
      </c>
      <c r="E1143" s="5" t="n"/>
      <c r="F1143" s="5" t="n"/>
      <c r="G1143" s="5" t="n">
        <v>127</v>
      </c>
      <c r="H1143" s="10">
        <f>IF(E1143&gt;0,G1143/E1143,"")</f>
        <v/>
      </c>
      <c r="I1143" s="11">
        <f>IF(AND(F1143&gt;0,G1143&gt;0),F1143/G1143,"")</f>
        <v/>
      </c>
    </row>
    <row r="1144">
      <c r="A1144" s="4" t="inlineStr">
        <is>
          <t>410</t>
        </is>
      </c>
      <c r="B1144" s="4" t="n">
        <v>4</v>
      </c>
      <c r="C1144" s="4" t="inlineStr">
        <is>
          <t>whitetail</t>
        </is>
      </c>
      <c r="D1144" s="4" t="n">
        <v>2025</v>
      </c>
      <c r="E1144" s="5" t="n">
        <v>505</v>
      </c>
      <c r="F1144" s="5" t="n">
        <v>3423</v>
      </c>
      <c r="G1144" s="5" t="n">
        <v>129</v>
      </c>
      <c r="H1144" s="10">
        <f>IF(E1144&gt;0,G1144/E1144,"")</f>
        <v/>
      </c>
      <c r="I1144" s="11">
        <f>IF(AND(F1144&gt;0,G1144&gt;0),F1144/G1144,"")</f>
        <v/>
      </c>
    </row>
    <row r="1145">
      <c r="A1145" s="4" t="inlineStr">
        <is>
          <t>411</t>
        </is>
      </c>
      <c r="B1145" s="4" t="n">
        <v>4</v>
      </c>
      <c r="C1145" s="4" t="inlineStr">
        <is>
          <t>whitetail</t>
        </is>
      </c>
      <c r="D1145" s="4" t="n">
        <v>2021</v>
      </c>
      <c r="E1145" s="5" t="n">
        <v>2654</v>
      </c>
      <c r="F1145" s="5" t="n">
        <v>15250</v>
      </c>
      <c r="G1145" s="5" t="n">
        <v>1104</v>
      </c>
      <c r="H1145" s="10">
        <f>IF(E1145&gt;0,G1145/E1145,"")</f>
        <v/>
      </c>
      <c r="I1145" s="11">
        <f>IF(AND(F1145&gt;0,G1145&gt;0),F1145/G1145,"")</f>
        <v/>
      </c>
    </row>
    <row r="1146">
      <c r="A1146" s="4" t="inlineStr">
        <is>
          <t>411</t>
        </is>
      </c>
      <c r="B1146" s="4" t="n">
        <v>4</v>
      </c>
      <c r="C1146" s="4" t="inlineStr">
        <is>
          <t>whitetail</t>
        </is>
      </c>
      <c r="D1146" s="4" t="n">
        <v>2022</v>
      </c>
      <c r="E1146" s="5" t="n"/>
      <c r="F1146" s="5" t="n"/>
      <c r="G1146" s="5" t="n">
        <v>1041</v>
      </c>
      <c r="H1146" s="10">
        <f>IF(E1146&gt;0,G1146/E1146,"")</f>
        <v/>
      </c>
      <c r="I1146" s="11">
        <f>IF(AND(F1146&gt;0,G1146&gt;0),F1146/G1146,"")</f>
        <v/>
      </c>
    </row>
    <row r="1147">
      <c r="A1147" s="4" t="inlineStr">
        <is>
          <t>411</t>
        </is>
      </c>
      <c r="B1147" s="4" t="n">
        <v>4</v>
      </c>
      <c r="C1147" s="4" t="inlineStr">
        <is>
          <t>whitetail</t>
        </is>
      </c>
      <c r="D1147" s="4" t="n">
        <v>2023</v>
      </c>
      <c r="E1147" s="5" t="n">
        <v>2390</v>
      </c>
      <c r="F1147" s="5" t="n">
        <v>13501</v>
      </c>
      <c r="G1147" s="5" t="n">
        <v>953</v>
      </c>
      <c r="H1147" s="10">
        <f>IF(E1147&gt;0,G1147/E1147,"")</f>
        <v/>
      </c>
      <c r="I1147" s="11">
        <f>IF(AND(F1147&gt;0,G1147&gt;0),F1147/G1147,"")</f>
        <v/>
      </c>
    </row>
    <row r="1148">
      <c r="A1148" s="4" t="inlineStr">
        <is>
          <t>411</t>
        </is>
      </c>
      <c r="B1148" s="4" t="n">
        <v>4</v>
      </c>
      <c r="C1148" s="4" t="inlineStr">
        <is>
          <t>whitetail</t>
        </is>
      </c>
      <c r="D1148" s="4" t="n">
        <v>2024</v>
      </c>
      <c r="E1148" s="5" t="n"/>
      <c r="F1148" s="5" t="n"/>
      <c r="G1148" s="5" t="n">
        <v>1100</v>
      </c>
      <c r="H1148" s="10">
        <f>IF(E1148&gt;0,G1148/E1148,"")</f>
        <v/>
      </c>
      <c r="I1148" s="11">
        <f>IF(AND(F1148&gt;0,G1148&gt;0),F1148/G1148,"")</f>
        <v/>
      </c>
    </row>
    <row r="1149">
      <c r="A1149" s="4" t="inlineStr">
        <is>
          <t>411</t>
        </is>
      </c>
      <c r="B1149" s="4" t="n">
        <v>4</v>
      </c>
      <c r="C1149" s="4" t="inlineStr">
        <is>
          <t>whitetail</t>
        </is>
      </c>
      <c r="D1149" s="4" t="n">
        <v>2025</v>
      </c>
      <c r="E1149" s="5" t="n">
        <v>2383</v>
      </c>
      <c r="F1149" s="5" t="n">
        <v>14657</v>
      </c>
      <c r="G1149" s="5" t="n">
        <v>831</v>
      </c>
      <c r="H1149" s="10">
        <f>IF(E1149&gt;0,G1149/E1149,"")</f>
        <v/>
      </c>
      <c r="I1149" s="11">
        <f>IF(AND(F1149&gt;0,G1149&gt;0),F1149/G1149,"")</f>
        <v/>
      </c>
    </row>
    <row r="1150">
      <c r="A1150" s="4" t="inlineStr">
        <is>
          <t>412</t>
        </is>
      </c>
      <c r="B1150" s="4" t="n">
        <v>4</v>
      </c>
      <c r="C1150" s="4" t="inlineStr">
        <is>
          <t>whitetail</t>
        </is>
      </c>
      <c r="D1150" s="4" t="n">
        <v>2021</v>
      </c>
      <c r="E1150" s="5" t="n">
        <v>1508</v>
      </c>
      <c r="F1150" s="5" t="n">
        <v>7674</v>
      </c>
      <c r="G1150" s="5" t="n">
        <v>474</v>
      </c>
      <c r="H1150" s="10">
        <f>IF(E1150&gt;0,G1150/E1150,"")</f>
        <v/>
      </c>
      <c r="I1150" s="11">
        <f>IF(AND(F1150&gt;0,G1150&gt;0),F1150/G1150,"")</f>
        <v/>
      </c>
    </row>
    <row r="1151">
      <c r="A1151" s="4" t="inlineStr">
        <is>
          <t>412</t>
        </is>
      </c>
      <c r="B1151" s="4" t="n">
        <v>4</v>
      </c>
      <c r="C1151" s="4" t="inlineStr">
        <is>
          <t>whitetail</t>
        </is>
      </c>
      <c r="D1151" s="4" t="n">
        <v>2022</v>
      </c>
      <c r="E1151" s="5" t="n"/>
      <c r="F1151" s="5" t="n"/>
      <c r="G1151" s="5" t="n">
        <v>451</v>
      </c>
      <c r="H1151" s="10">
        <f>IF(E1151&gt;0,G1151/E1151,"")</f>
        <v/>
      </c>
      <c r="I1151" s="11">
        <f>IF(AND(F1151&gt;0,G1151&gt;0),F1151/G1151,"")</f>
        <v/>
      </c>
    </row>
    <row r="1152">
      <c r="A1152" s="4" t="inlineStr">
        <is>
          <t>412</t>
        </is>
      </c>
      <c r="B1152" s="4" t="n">
        <v>4</v>
      </c>
      <c r="C1152" s="4" t="inlineStr">
        <is>
          <t>whitetail</t>
        </is>
      </c>
      <c r="D1152" s="4" t="n">
        <v>2023</v>
      </c>
      <c r="E1152" s="5" t="n">
        <v>1421</v>
      </c>
      <c r="F1152" s="5" t="n">
        <v>7474</v>
      </c>
      <c r="G1152" s="5" t="n">
        <v>536</v>
      </c>
      <c r="H1152" s="10">
        <f>IF(E1152&gt;0,G1152/E1152,"")</f>
        <v/>
      </c>
      <c r="I1152" s="11">
        <f>IF(AND(F1152&gt;0,G1152&gt;0),F1152/G1152,"")</f>
        <v/>
      </c>
    </row>
    <row r="1153">
      <c r="A1153" s="4" t="inlineStr">
        <is>
          <t>412</t>
        </is>
      </c>
      <c r="B1153" s="4" t="n">
        <v>4</v>
      </c>
      <c r="C1153" s="4" t="inlineStr">
        <is>
          <t>whitetail</t>
        </is>
      </c>
      <c r="D1153" s="4" t="n">
        <v>2024</v>
      </c>
      <c r="E1153" s="5" t="n"/>
      <c r="F1153" s="5" t="n"/>
      <c r="G1153" s="5" t="n">
        <v>524</v>
      </c>
      <c r="H1153" s="10">
        <f>IF(E1153&gt;0,G1153/E1153,"")</f>
        <v/>
      </c>
      <c r="I1153" s="11">
        <f>IF(AND(F1153&gt;0,G1153&gt;0),F1153/G1153,"")</f>
        <v/>
      </c>
    </row>
    <row r="1154">
      <c r="A1154" s="4" t="inlineStr">
        <is>
          <t>412</t>
        </is>
      </c>
      <c r="B1154" s="4" t="n">
        <v>4</v>
      </c>
      <c r="C1154" s="4" t="inlineStr">
        <is>
          <t>whitetail</t>
        </is>
      </c>
      <c r="D1154" s="4" t="n">
        <v>2025</v>
      </c>
      <c r="E1154" s="5" t="n">
        <v>1139</v>
      </c>
      <c r="F1154" s="5" t="n">
        <v>6654</v>
      </c>
      <c r="G1154" s="5" t="n">
        <v>379</v>
      </c>
      <c r="H1154" s="10">
        <f>IF(E1154&gt;0,G1154/E1154,"")</f>
        <v/>
      </c>
      <c r="I1154" s="11">
        <f>IF(AND(F1154&gt;0,G1154&gt;0),F1154/G1154,"")</f>
        <v/>
      </c>
    </row>
    <row r="1155">
      <c r="A1155" s="4" t="inlineStr">
        <is>
          <t>413</t>
        </is>
      </c>
      <c r="B1155" s="4" t="n">
        <v>4</v>
      </c>
      <c r="C1155" s="4" t="inlineStr">
        <is>
          <t>whitetail</t>
        </is>
      </c>
      <c r="D1155" s="4" t="n">
        <v>2021</v>
      </c>
      <c r="E1155" s="5" t="n">
        <v>1901</v>
      </c>
      <c r="F1155" s="5" t="n">
        <v>9654</v>
      </c>
      <c r="G1155" s="5" t="n">
        <v>631</v>
      </c>
      <c r="H1155" s="10">
        <f>IF(E1155&gt;0,G1155/E1155,"")</f>
        <v/>
      </c>
      <c r="I1155" s="11">
        <f>IF(AND(F1155&gt;0,G1155&gt;0),F1155/G1155,"")</f>
        <v/>
      </c>
    </row>
    <row r="1156">
      <c r="A1156" s="4" t="inlineStr">
        <is>
          <t>413</t>
        </is>
      </c>
      <c r="B1156" s="4" t="n">
        <v>4</v>
      </c>
      <c r="C1156" s="4" t="inlineStr">
        <is>
          <t>whitetail</t>
        </is>
      </c>
      <c r="D1156" s="4" t="n">
        <v>2022</v>
      </c>
      <c r="E1156" s="5" t="n"/>
      <c r="F1156" s="5" t="n"/>
      <c r="G1156" s="5" t="n">
        <v>770</v>
      </c>
      <c r="H1156" s="10">
        <f>IF(E1156&gt;0,G1156/E1156,"")</f>
        <v/>
      </c>
      <c r="I1156" s="11">
        <f>IF(AND(F1156&gt;0,G1156&gt;0),F1156/G1156,"")</f>
        <v/>
      </c>
    </row>
    <row r="1157">
      <c r="A1157" s="4" t="inlineStr">
        <is>
          <t>413</t>
        </is>
      </c>
      <c r="B1157" s="4" t="n">
        <v>4</v>
      </c>
      <c r="C1157" s="4" t="inlineStr">
        <is>
          <t>whitetail</t>
        </is>
      </c>
      <c r="D1157" s="4" t="n">
        <v>2023</v>
      </c>
      <c r="E1157" s="5" t="n">
        <v>2783</v>
      </c>
      <c r="F1157" s="5" t="n">
        <v>15981</v>
      </c>
      <c r="G1157" s="5" t="n">
        <v>756</v>
      </c>
      <c r="H1157" s="10">
        <f>IF(E1157&gt;0,G1157/E1157,"")</f>
        <v/>
      </c>
      <c r="I1157" s="11">
        <f>IF(AND(F1157&gt;0,G1157&gt;0),F1157/G1157,"")</f>
        <v/>
      </c>
    </row>
    <row r="1158">
      <c r="A1158" s="4" t="inlineStr">
        <is>
          <t>413</t>
        </is>
      </c>
      <c r="B1158" s="4" t="n">
        <v>4</v>
      </c>
      <c r="C1158" s="4" t="inlineStr">
        <is>
          <t>whitetail</t>
        </is>
      </c>
      <c r="D1158" s="4" t="n">
        <v>2024</v>
      </c>
      <c r="E1158" s="5" t="n"/>
      <c r="F1158" s="5" t="n"/>
      <c r="G1158" s="5" t="n">
        <v>907</v>
      </c>
      <c r="H1158" s="10">
        <f>IF(E1158&gt;0,G1158/E1158,"")</f>
        <v/>
      </c>
      <c r="I1158" s="11">
        <f>IF(AND(F1158&gt;0,G1158&gt;0),F1158/G1158,"")</f>
        <v/>
      </c>
    </row>
    <row r="1159">
      <c r="A1159" s="4" t="inlineStr">
        <is>
          <t>413</t>
        </is>
      </c>
      <c r="B1159" s="4" t="n">
        <v>4</v>
      </c>
      <c r="C1159" s="4" t="inlineStr">
        <is>
          <t>whitetail</t>
        </is>
      </c>
      <c r="D1159" s="4" t="n">
        <v>2025</v>
      </c>
      <c r="E1159" s="5" t="n">
        <v>2609</v>
      </c>
      <c r="F1159" s="5" t="n">
        <v>17008</v>
      </c>
      <c r="G1159" s="5" t="n">
        <v>698</v>
      </c>
      <c r="H1159" s="10">
        <f>IF(E1159&gt;0,G1159/E1159,"")</f>
        <v/>
      </c>
      <c r="I1159" s="11">
        <f>IF(AND(F1159&gt;0,G1159&gt;0),F1159/G1159,"")</f>
        <v/>
      </c>
    </row>
    <row r="1160">
      <c r="A1160" s="4" t="inlineStr">
        <is>
          <t>415</t>
        </is>
      </c>
      <c r="B1160" s="4" t="n">
        <v>4</v>
      </c>
      <c r="C1160" s="4" t="inlineStr">
        <is>
          <t>whitetail</t>
        </is>
      </c>
      <c r="D1160" s="4" t="n">
        <v>2022</v>
      </c>
      <c r="E1160" s="5" t="n"/>
      <c r="F1160" s="5" t="n"/>
      <c r="G1160" s="5" t="n">
        <v>13</v>
      </c>
      <c r="H1160" s="10">
        <f>IF(E1160&gt;0,G1160/E1160,"")</f>
        <v/>
      </c>
      <c r="I1160" s="11">
        <f>IF(AND(F1160&gt;0,G1160&gt;0),F1160/G1160,"")</f>
        <v/>
      </c>
    </row>
    <row r="1161">
      <c r="A1161" s="4" t="inlineStr">
        <is>
          <t>415</t>
        </is>
      </c>
      <c r="B1161" s="4" t="n">
        <v>4</v>
      </c>
      <c r="C1161" s="4" t="inlineStr">
        <is>
          <t>whitetail</t>
        </is>
      </c>
      <c r="D1161" s="4" t="n">
        <v>2023</v>
      </c>
      <c r="E1161" s="5" t="n">
        <v>111</v>
      </c>
      <c r="F1161" s="5" t="n">
        <v>1201</v>
      </c>
      <c r="G1161" s="5" t="n">
        <v>3</v>
      </c>
      <c r="H1161" s="10">
        <f>IF(E1161&gt;0,G1161/E1161,"")</f>
        <v/>
      </c>
      <c r="I1161" s="11">
        <f>IF(AND(F1161&gt;0,G1161&gt;0),F1161/G1161,"")</f>
        <v/>
      </c>
    </row>
    <row r="1162">
      <c r="A1162" s="4" t="inlineStr">
        <is>
          <t>415</t>
        </is>
      </c>
      <c r="B1162" s="4" t="n">
        <v>4</v>
      </c>
      <c r="C1162" s="4" t="inlineStr">
        <is>
          <t>whitetail</t>
        </is>
      </c>
      <c r="D1162" s="4" t="n">
        <v>2024</v>
      </c>
      <c r="E1162" s="5" t="n"/>
      <c r="F1162" s="5" t="n"/>
      <c r="G1162" s="5" t="n">
        <v>15</v>
      </c>
      <c r="H1162" s="10">
        <f>IF(E1162&gt;0,G1162/E1162,"")</f>
        <v/>
      </c>
      <c r="I1162" s="11">
        <f>IF(AND(F1162&gt;0,G1162&gt;0),F1162/G1162,"")</f>
        <v/>
      </c>
    </row>
    <row r="1163">
      <c r="A1163" s="4" t="inlineStr">
        <is>
          <t>415</t>
        </is>
      </c>
      <c r="B1163" s="4" t="n">
        <v>4</v>
      </c>
      <c r="C1163" s="4" t="inlineStr">
        <is>
          <t>whitetail</t>
        </is>
      </c>
      <c r="D1163" s="4" t="n">
        <v>2025</v>
      </c>
      <c r="E1163" s="5" t="n">
        <v>102</v>
      </c>
      <c r="F1163" s="5" t="n">
        <v>539</v>
      </c>
      <c r="G1163" s="5" t="n">
        <v>23</v>
      </c>
      <c r="H1163" s="10">
        <f>IF(E1163&gt;0,G1163/E1163,"")</f>
        <v/>
      </c>
      <c r="I1163" s="11">
        <f>IF(AND(F1163&gt;0,G1163&gt;0),F1163/G1163,"")</f>
        <v/>
      </c>
    </row>
    <row r="1164">
      <c r="A1164" s="4" t="inlineStr">
        <is>
          <t>416</t>
        </is>
      </c>
      <c r="B1164" s="4" t="n">
        <v>4</v>
      </c>
      <c r="C1164" s="4" t="inlineStr">
        <is>
          <t>whitetail</t>
        </is>
      </c>
      <c r="D1164" s="4" t="n">
        <v>2021</v>
      </c>
      <c r="E1164" s="5" t="n">
        <v>1253</v>
      </c>
      <c r="F1164" s="5" t="n">
        <v>7860</v>
      </c>
      <c r="G1164" s="5" t="n">
        <v>189</v>
      </c>
      <c r="H1164" s="10">
        <f>IF(E1164&gt;0,G1164/E1164,"")</f>
        <v/>
      </c>
      <c r="I1164" s="11">
        <f>IF(AND(F1164&gt;0,G1164&gt;0),F1164/G1164,"")</f>
        <v/>
      </c>
    </row>
    <row r="1165">
      <c r="A1165" s="4" t="inlineStr">
        <is>
          <t>416</t>
        </is>
      </c>
      <c r="B1165" s="4" t="n">
        <v>4</v>
      </c>
      <c r="C1165" s="4" t="inlineStr">
        <is>
          <t>whitetail</t>
        </is>
      </c>
      <c r="D1165" s="4" t="n">
        <v>2022</v>
      </c>
      <c r="E1165" s="5" t="n"/>
      <c r="F1165" s="5" t="n"/>
      <c r="G1165" s="5" t="n">
        <v>225</v>
      </c>
      <c r="H1165" s="10">
        <f>IF(E1165&gt;0,G1165/E1165,"")</f>
        <v/>
      </c>
      <c r="I1165" s="11">
        <f>IF(AND(F1165&gt;0,G1165&gt;0),F1165/G1165,"")</f>
        <v/>
      </c>
    </row>
    <row r="1166">
      <c r="A1166" s="4" t="inlineStr">
        <is>
          <t>416</t>
        </is>
      </c>
      <c r="B1166" s="4" t="n">
        <v>4</v>
      </c>
      <c r="C1166" s="4" t="inlineStr">
        <is>
          <t>whitetail</t>
        </is>
      </c>
      <c r="D1166" s="4" t="n">
        <v>2023</v>
      </c>
      <c r="E1166" s="5" t="n">
        <v>1983</v>
      </c>
      <c r="F1166" s="5" t="n">
        <v>13043</v>
      </c>
      <c r="G1166" s="5" t="n">
        <v>258</v>
      </c>
      <c r="H1166" s="10">
        <f>IF(E1166&gt;0,G1166/E1166,"")</f>
        <v/>
      </c>
      <c r="I1166" s="11">
        <f>IF(AND(F1166&gt;0,G1166&gt;0),F1166/G1166,"")</f>
        <v/>
      </c>
    </row>
    <row r="1167">
      <c r="A1167" s="4" t="inlineStr">
        <is>
          <t>416</t>
        </is>
      </c>
      <c r="B1167" s="4" t="n">
        <v>4</v>
      </c>
      <c r="C1167" s="4" t="inlineStr">
        <is>
          <t>whitetail</t>
        </is>
      </c>
      <c r="D1167" s="4" t="n">
        <v>2024</v>
      </c>
      <c r="E1167" s="5" t="n"/>
      <c r="F1167" s="5" t="n"/>
      <c r="G1167" s="5" t="n">
        <v>287</v>
      </c>
      <c r="H1167" s="10">
        <f>IF(E1167&gt;0,G1167/E1167,"")</f>
        <v/>
      </c>
      <c r="I1167" s="11">
        <f>IF(AND(F1167&gt;0,G1167&gt;0),F1167/G1167,"")</f>
        <v/>
      </c>
    </row>
    <row r="1168">
      <c r="A1168" s="4" t="inlineStr">
        <is>
          <t>416</t>
        </is>
      </c>
      <c r="B1168" s="4" t="n">
        <v>4</v>
      </c>
      <c r="C1168" s="4" t="inlineStr">
        <is>
          <t>whitetail</t>
        </is>
      </c>
      <c r="D1168" s="4" t="n">
        <v>2025</v>
      </c>
      <c r="E1168" s="5" t="n">
        <v>1750</v>
      </c>
      <c r="F1168" s="5" t="n">
        <v>13203</v>
      </c>
      <c r="G1168" s="5" t="n">
        <v>233</v>
      </c>
      <c r="H1168" s="10">
        <f>IF(E1168&gt;0,G1168/E1168,"")</f>
        <v/>
      </c>
      <c r="I1168" s="11">
        <f>IF(AND(F1168&gt;0,G1168&gt;0),F1168/G1168,"")</f>
        <v/>
      </c>
    </row>
    <row r="1169">
      <c r="A1169" s="4" t="inlineStr">
        <is>
          <t>417</t>
        </is>
      </c>
      <c r="B1169" s="4" t="n">
        <v>4</v>
      </c>
      <c r="C1169" s="4" t="inlineStr">
        <is>
          <t>whitetail</t>
        </is>
      </c>
      <c r="D1169" s="4" t="n">
        <v>2021</v>
      </c>
      <c r="E1169" s="5" t="n">
        <v>1161</v>
      </c>
      <c r="F1169" s="5" t="n">
        <v>6617</v>
      </c>
      <c r="G1169" s="5" t="n">
        <v>65</v>
      </c>
      <c r="H1169" s="10">
        <f>IF(E1169&gt;0,G1169/E1169,"")</f>
        <v/>
      </c>
      <c r="I1169" s="11">
        <f>IF(AND(F1169&gt;0,G1169&gt;0),F1169/G1169,"")</f>
        <v/>
      </c>
    </row>
    <row r="1170">
      <c r="A1170" s="4" t="inlineStr">
        <is>
          <t>417</t>
        </is>
      </c>
      <c r="B1170" s="4" t="n">
        <v>4</v>
      </c>
      <c r="C1170" s="4" t="inlineStr">
        <is>
          <t>whitetail</t>
        </is>
      </c>
      <c r="D1170" s="4" t="n">
        <v>2022</v>
      </c>
      <c r="E1170" s="5" t="n"/>
      <c r="F1170" s="5" t="n"/>
      <c r="G1170" s="5" t="n">
        <v>48</v>
      </c>
      <c r="H1170" s="10">
        <f>IF(E1170&gt;0,G1170/E1170,"")</f>
        <v/>
      </c>
      <c r="I1170" s="11">
        <f>IF(AND(F1170&gt;0,G1170&gt;0),F1170/G1170,"")</f>
        <v/>
      </c>
    </row>
    <row r="1171">
      <c r="A1171" s="4" t="inlineStr">
        <is>
          <t>417</t>
        </is>
      </c>
      <c r="B1171" s="4" t="n">
        <v>4</v>
      </c>
      <c r="C1171" s="4" t="inlineStr">
        <is>
          <t>whitetail</t>
        </is>
      </c>
      <c r="D1171" s="4" t="n">
        <v>2023</v>
      </c>
      <c r="E1171" s="5" t="n">
        <v>750</v>
      </c>
      <c r="F1171" s="5" t="n">
        <v>4498</v>
      </c>
      <c r="G1171" s="5" t="n">
        <v>47</v>
      </c>
      <c r="H1171" s="10">
        <f>IF(E1171&gt;0,G1171/E1171,"")</f>
        <v/>
      </c>
      <c r="I1171" s="11">
        <f>IF(AND(F1171&gt;0,G1171&gt;0),F1171/G1171,"")</f>
        <v/>
      </c>
    </row>
    <row r="1172">
      <c r="A1172" s="4" t="inlineStr">
        <is>
          <t>417</t>
        </is>
      </c>
      <c r="B1172" s="4" t="n">
        <v>4</v>
      </c>
      <c r="C1172" s="4" t="inlineStr">
        <is>
          <t>whitetail</t>
        </is>
      </c>
      <c r="D1172" s="4" t="n">
        <v>2024</v>
      </c>
      <c r="E1172" s="5" t="n"/>
      <c r="F1172" s="5" t="n"/>
      <c r="G1172" s="5" t="n">
        <v>65</v>
      </c>
      <c r="H1172" s="10">
        <f>IF(E1172&gt;0,G1172/E1172,"")</f>
        <v/>
      </c>
      <c r="I1172" s="11">
        <f>IF(AND(F1172&gt;0,G1172&gt;0),F1172/G1172,"")</f>
        <v/>
      </c>
    </row>
    <row r="1173">
      <c r="A1173" s="4" t="inlineStr">
        <is>
          <t>417</t>
        </is>
      </c>
      <c r="B1173" s="4" t="n">
        <v>4</v>
      </c>
      <c r="C1173" s="4" t="inlineStr">
        <is>
          <t>whitetail</t>
        </is>
      </c>
      <c r="D1173" s="4" t="n">
        <v>2025</v>
      </c>
      <c r="E1173" s="5" t="n">
        <v>253</v>
      </c>
      <c r="F1173" s="5" t="n">
        <v>1366</v>
      </c>
      <c r="G1173" s="5" t="n">
        <v>31</v>
      </c>
      <c r="H1173" s="10">
        <f>IF(E1173&gt;0,G1173/E1173,"")</f>
        <v/>
      </c>
      <c r="I1173" s="11">
        <f>IF(AND(F1173&gt;0,G1173&gt;0),F1173/G1173,"")</f>
        <v/>
      </c>
    </row>
    <row r="1174">
      <c r="A1174" s="4" t="inlineStr">
        <is>
          <t>418</t>
        </is>
      </c>
      <c r="B1174" s="4" t="n">
        <v>4</v>
      </c>
      <c r="C1174" s="4" t="inlineStr">
        <is>
          <t>whitetail</t>
        </is>
      </c>
      <c r="D1174" s="4" t="n">
        <v>2021</v>
      </c>
      <c r="E1174" s="5" t="n">
        <v>541</v>
      </c>
      <c r="F1174" s="5" t="n">
        <v>3602</v>
      </c>
      <c r="G1174" s="5" t="n">
        <v>150</v>
      </c>
      <c r="H1174" s="10">
        <f>IF(E1174&gt;0,G1174/E1174,"")</f>
        <v/>
      </c>
      <c r="I1174" s="11">
        <f>IF(AND(F1174&gt;0,G1174&gt;0),F1174/G1174,"")</f>
        <v/>
      </c>
    </row>
    <row r="1175">
      <c r="A1175" s="4" t="inlineStr">
        <is>
          <t>418</t>
        </is>
      </c>
      <c r="B1175" s="4" t="n">
        <v>4</v>
      </c>
      <c r="C1175" s="4" t="inlineStr">
        <is>
          <t>whitetail</t>
        </is>
      </c>
      <c r="D1175" s="4" t="n">
        <v>2022</v>
      </c>
      <c r="E1175" s="5" t="n"/>
      <c r="F1175" s="5" t="n"/>
      <c r="G1175" s="5" t="n">
        <v>242</v>
      </c>
      <c r="H1175" s="10">
        <f>IF(E1175&gt;0,G1175/E1175,"")</f>
        <v/>
      </c>
      <c r="I1175" s="11">
        <f>IF(AND(F1175&gt;0,G1175&gt;0),F1175/G1175,"")</f>
        <v/>
      </c>
    </row>
    <row r="1176">
      <c r="A1176" s="4" t="inlineStr">
        <is>
          <t>418</t>
        </is>
      </c>
      <c r="B1176" s="4" t="n">
        <v>4</v>
      </c>
      <c r="C1176" s="4" t="inlineStr">
        <is>
          <t>whitetail</t>
        </is>
      </c>
      <c r="D1176" s="4" t="n">
        <v>2023</v>
      </c>
      <c r="E1176" s="5" t="n">
        <v>493</v>
      </c>
      <c r="F1176" s="5" t="n">
        <v>2643</v>
      </c>
      <c r="G1176" s="5" t="n">
        <v>138</v>
      </c>
      <c r="H1176" s="10">
        <f>IF(E1176&gt;0,G1176/E1176,"")</f>
        <v/>
      </c>
      <c r="I1176" s="11">
        <f>IF(AND(F1176&gt;0,G1176&gt;0),F1176/G1176,"")</f>
        <v/>
      </c>
    </row>
    <row r="1177">
      <c r="A1177" s="4" t="inlineStr">
        <is>
          <t>418</t>
        </is>
      </c>
      <c r="B1177" s="4" t="n">
        <v>4</v>
      </c>
      <c r="C1177" s="4" t="inlineStr">
        <is>
          <t>whitetail</t>
        </is>
      </c>
      <c r="D1177" s="4" t="n">
        <v>2024</v>
      </c>
      <c r="E1177" s="5" t="n"/>
      <c r="F1177" s="5" t="n"/>
      <c r="G1177" s="5" t="n">
        <v>199</v>
      </c>
      <c r="H1177" s="10">
        <f>IF(E1177&gt;0,G1177/E1177,"")</f>
        <v/>
      </c>
      <c r="I1177" s="11">
        <f>IF(AND(F1177&gt;0,G1177&gt;0),F1177/G1177,"")</f>
        <v/>
      </c>
    </row>
    <row r="1178">
      <c r="A1178" s="4" t="inlineStr">
        <is>
          <t>418</t>
        </is>
      </c>
      <c r="B1178" s="4" t="n">
        <v>4</v>
      </c>
      <c r="C1178" s="4" t="inlineStr">
        <is>
          <t>whitetail</t>
        </is>
      </c>
      <c r="D1178" s="4" t="n">
        <v>2025</v>
      </c>
      <c r="E1178" s="5" t="n">
        <v>495</v>
      </c>
      <c r="F1178" s="5" t="n">
        <v>4579</v>
      </c>
      <c r="G1178" s="5" t="n">
        <v>159</v>
      </c>
      <c r="H1178" s="10">
        <f>IF(E1178&gt;0,G1178/E1178,"")</f>
        <v/>
      </c>
      <c r="I1178" s="11">
        <f>IF(AND(F1178&gt;0,G1178&gt;0),F1178/G1178,"")</f>
        <v/>
      </c>
    </row>
    <row r="1179">
      <c r="A1179" s="4" t="inlineStr">
        <is>
          <t>419</t>
        </is>
      </c>
      <c r="B1179" s="4" t="n">
        <v>4</v>
      </c>
      <c r="C1179" s="4" t="inlineStr">
        <is>
          <t>whitetail</t>
        </is>
      </c>
      <c r="D1179" s="4" t="n">
        <v>2021</v>
      </c>
      <c r="E1179" s="5" t="n">
        <v>561</v>
      </c>
      <c r="F1179" s="5" t="n">
        <v>2567</v>
      </c>
      <c r="G1179" s="5" t="n">
        <v>127</v>
      </c>
      <c r="H1179" s="10">
        <f>IF(E1179&gt;0,G1179/E1179,"")</f>
        <v/>
      </c>
      <c r="I1179" s="11">
        <f>IF(AND(F1179&gt;0,G1179&gt;0),F1179/G1179,"")</f>
        <v/>
      </c>
    </row>
    <row r="1180">
      <c r="A1180" s="4" t="inlineStr">
        <is>
          <t>419</t>
        </is>
      </c>
      <c r="B1180" s="4" t="n">
        <v>4</v>
      </c>
      <c r="C1180" s="4" t="inlineStr">
        <is>
          <t>whitetail</t>
        </is>
      </c>
      <c r="D1180" s="4" t="n">
        <v>2022</v>
      </c>
      <c r="E1180" s="5" t="n"/>
      <c r="F1180" s="5" t="n"/>
      <c r="G1180" s="5" t="n">
        <v>225</v>
      </c>
      <c r="H1180" s="10">
        <f>IF(E1180&gt;0,G1180/E1180,"")</f>
        <v/>
      </c>
      <c r="I1180" s="11">
        <f>IF(AND(F1180&gt;0,G1180&gt;0),F1180/G1180,"")</f>
        <v/>
      </c>
    </row>
    <row r="1181">
      <c r="A1181" s="4" t="inlineStr">
        <is>
          <t>419</t>
        </is>
      </c>
      <c r="B1181" s="4" t="n">
        <v>4</v>
      </c>
      <c r="C1181" s="4" t="inlineStr">
        <is>
          <t>whitetail</t>
        </is>
      </c>
      <c r="D1181" s="4" t="n">
        <v>2023</v>
      </c>
      <c r="E1181" s="5" t="n">
        <v>648</v>
      </c>
      <c r="F1181" s="5" t="n">
        <v>3354</v>
      </c>
      <c r="G1181" s="5" t="n">
        <v>218</v>
      </c>
      <c r="H1181" s="10">
        <f>IF(E1181&gt;0,G1181/E1181,"")</f>
        <v/>
      </c>
      <c r="I1181" s="11">
        <f>IF(AND(F1181&gt;0,G1181&gt;0),F1181/G1181,"")</f>
        <v/>
      </c>
    </row>
    <row r="1182">
      <c r="A1182" s="4" t="inlineStr">
        <is>
          <t>419</t>
        </is>
      </c>
      <c r="B1182" s="4" t="n">
        <v>4</v>
      </c>
      <c r="C1182" s="4" t="inlineStr">
        <is>
          <t>whitetail</t>
        </is>
      </c>
      <c r="D1182" s="4" t="n">
        <v>2024</v>
      </c>
      <c r="E1182" s="5" t="n"/>
      <c r="F1182" s="5" t="n"/>
      <c r="G1182" s="5" t="n">
        <v>271</v>
      </c>
      <c r="H1182" s="10">
        <f>IF(E1182&gt;0,G1182/E1182,"")</f>
        <v/>
      </c>
      <c r="I1182" s="11">
        <f>IF(AND(F1182&gt;0,G1182&gt;0),F1182/G1182,"")</f>
        <v/>
      </c>
    </row>
    <row r="1183">
      <c r="A1183" s="4" t="inlineStr">
        <is>
          <t>419</t>
        </is>
      </c>
      <c r="B1183" s="4" t="n">
        <v>4</v>
      </c>
      <c r="C1183" s="4" t="inlineStr">
        <is>
          <t>whitetail</t>
        </is>
      </c>
      <c r="D1183" s="4" t="n">
        <v>2025</v>
      </c>
      <c r="E1183" s="5" t="n">
        <v>861</v>
      </c>
      <c r="F1183" s="5" t="n">
        <v>4469</v>
      </c>
      <c r="G1183" s="5" t="n">
        <v>228</v>
      </c>
      <c r="H1183" s="10">
        <f>IF(E1183&gt;0,G1183/E1183,"")</f>
        <v/>
      </c>
      <c r="I1183" s="11">
        <f>IF(AND(F1183&gt;0,G1183&gt;0),F1183/G1183,"")</f>
        <v/>
      </c>
    </row>
    <row r="1184">
      <c r="A1184" s="4" t="inlineStr">
        <is>
          <t>420</t>
        </is>
      </c>
      <c r="B1184" s="4" t="n">
        <v>4</v>
      </c>
      <c r="C1184" s="4" t="inlineStr">
        <is>
          <t>whitetail</t>
        </is>
      </c>
      <c r="D1184" s="4" t="n">
        <v>2021</v>
      </c>
      <c r="E1184" s="5" t="n">
        <v>300</v>
      </c>
      <c r="F1184" s="5" t="n">
        <v>1981</v>
      </c>
      <c r="G1184" s="5" t="n">
        <v>38</v>
      </c>
      <c r="H1184" s="10">
        <f>IF(E1184&gt;0,G1184/E1184,"")</f>
        <v/>
      </c>
      <c r="I1184" s="11">
        <f>IF(AND(F1184&gt;0,G1184&gt;0),F1184/G1184,"")</f>
        <v/>
      </c>
    </row>
    <row r="1185">
      <c r="A1185" s="4" t="inlineStr">
        <is>
          <t>420</t>
        </is>
      </c>
      <c r="B1185" s="4" t="n">
        <v>4</v>
      </c>
      <c r="C1185" s="4" t="inlineStr">
        <is>
          <t>whitetail</t>
        </is>
      </c>
      <c r="D1185" s="4" t="n">
        <v>2022</v>
      </c>
      <c r="E1185" s="5" t="n"/>
      <c r="F1185" s="5" t="n"/>
      <c r="G1185" s="5" t="n">
        <v>51</v>
      </c>
      <c r="H1185" s="10">
        <f>IF(E1185&gt;0,G1185/E1185,"")</f>
        <v/>
      </c>
      <c r="I1185" s="11">
        <f>IF(AND(F1185&gt;0,G1185&gt;0),F1185/G1185,"")</f>
        <v/>
      </c>
    </row>
    <row r="1186">
      <c r="A1186" s="4" t="inlineStr">
        <is>
          <t>420</t>
        </is>
      </c>
      <c r="B1186" s="4" t="n">
        <v>4</v>
      </c>
      <c r="C1186" s="4" t="inlineStr">
        <is>
          <t>whitetail</t>
        </is>
      </c>
      <c r="D1186" s="4" t="n">
        <v>2023</v>
      </c>
      <c r="E1186" s="5" t="n">
        <v>332</v>
      </c>
      <c r="F1186" s="5" t="n">
        <v>1921</v>
      </c>
      <c r="G1186" s="5" t="n">
        <v>52</v>
      </c>
      <c r="H1186" s="10">
        <f>IF(E1186&gt;0,G1186/E1186,"")</f>
        <v/>
      </c>
      <c r="I1186" s="11">
        <f>IF(AND(F1186&gt;0,G1186&gt;0),F1186/G1186,"")</f>
        <v/>
      </c>
    </row>
    <row r="1187">
      <c r="A1187" s="4" t="inlineStr">
        <is>
          <t>420</t>
        </is>
      </c>
      <c r="B1187" s="4" t="n">
        <v>4</v>
      </c>
      <c r="C1187" s="4" t="inlineStr">
        <is>
          <t>whitetail</t>
        </is>
      </c>
      <c r="D1187" s="4" t="n">
        <v>2024</v>
      </c>
      <c r="E1187" s="5" t="n"/>
      <c r="F1187" s="5" t="n"/>
      <c r="G1187" s="5" t="n">
        <v>43</v>
      </c>
      <c r="H1187" s="10">
        <f>IF(E1187&gt;0,G1187/E1187,"")</f>
        <v/>
      </c>
      <c r="I1187" s="11">
        <f>IF(AND(F1187&gt;0,G1187&gt;0),F1187/G1187,"")</f>
        <v/>
      </c>
    </row>
    <row r="1188">
      <c r="A1188" s="4" t="inlineStr">
        <is>
          <t>420</t>
        </is>
      </c>
      <c r="B1188" s="4" t="n">
        <v>4</v>
      </c>
      <c r="C1188" s="4" t="inlineStr">
        <is>
          <t>whitetail</t>
        </is>
      </c>
      <c r="D1188" s="4" t="n">
        <v>2025</v>
      </c>
      <c r="E1188" s="5" t="n">
        <v>382</v>
      </c>
      <c r="F1188" s="5" t="n">
        <v>2558</v>
      </c>
      <c r="G1188" s="5" t="n">
        <v>52</v>
      </c>
      <c r="H1188" s="10">
        <f>IF(E1188&gt;0,G1188/E1188,"")</f>
        <v/>
      </c>
      <c r="I1188" s="11">
        <f>IF(AND(F1188&gt;0,G1188&gt;0),F1188/G1188,"")</f>
        <v/>
      </c>
    </row>
    <row r="1189">
      <c r="A1189" s="4" t="inlineStr">
        <is>
          <t>421</t>
        </is>
      </c>
      <c r="B1189" s="4" t="n">
        <v>4</v>
      </c>
      <c r="C1189" s="4" t="inlineStr">
        <is>
          <t>whitetail</t>
        </is>
      </c>
      <c r="D1189" s="4" t="n">
        <v>2021</v>
      </c>
      <c r="E1189" s="5" t="n">
        <v>741</v>
      </c>
      <c r="F1189" s="5" t="n">
        <v>3178</v>
      </c>
      <c r="G1189" s="5" t="n">
        <v>251</v>
      </c>
      <c r="H1189" s="10">
        <f>IF(E1189&gt;0,G1189/E1189,"")</f>
        <v/>
      </c>
      <c r="I1189" s="11">
        <f>IF(AND(F1189&gt;0,G1189&gt;0),F1189/G1189,"")</f>
        <v/>
      </c>
    </row>
    <row r="1190">
      <c r="A1190" s="4" t="inlineStr">
        <is>
          <t>421</t>
        </is>
      </c>
      <c r="B1190" s="4" t="n">
        <v>4</v>
      </c>
      <c r="C1190" s="4" t="inlineStr">
        <is>
          <t>whitetail</t>
        </is>
      </c>
      <c r="D1190" s="4" t="n">
        <v>2022</v>
      </c>
      <c r="E1190" s="5" t="n"/>
      <c r="F1190" s="5" t="n"/>
      <c r="G1190" s="5" t="n">
        <v>379</v>
      </c>
      <c r="H1190" s="10">
        <f>IF(E1190&gt;0,G1190/E1190,"")</f>
        <v/>
      </c>
      <c r="I1190" s="11">
        <f>IF(AND(F1190&gt;0,G1190&gt;0),F1190/G1190,"")</f>
        <v/>
      </c>
    </row>
    <row r="1191">
      <c r="A1191" s="4" t="inlineStr">
        <is>
          <t>421</t>
        </is>
      </c>
      <c r="B1191" s="4" t="n">
        <v>4</v>
      </c>
      <c r="C1191" s="4" t="inlineStr">
        <is>
          <t>whitetail</t>
        </is>
      </c>
      <c r="D1191" s="4" t="n">
        <v>2023</v>
      </c>
      <c r="E1191" s="5" t="n">
        <v>1313</v>
      </c>
      <c r="F1191" s="5" t="n">
        <v>7340</v>
      </c>
      <c r="G1191" s="5" t="n">
        <v>427</v>
      </c>
      <c r="H1191" s="10">
        <f>IF(E1191&gt;0,G1191/E1191,"")</f>
        <v/>
      </c>
      <c r="I1191" s="11">
        <f>IF(AND(F1191&gt;0,G1191&gt;0),F1191/G1191,"")</f>
        <v/>
      </c>
    </row>
    <row r="1192">
      <c r="A1192" s="4" t="inlineStr">
        <is>
          <t>421</t>
        </is>
      </c>
      <c r="B1192" s="4" t="n">
        <v>4</v>
      </c>
      <c r="C1192" s="4" t="inlineStr">
        <is>
          <t>whitetail</t>
        </is>
      </c>
      <c r="D1192" s="4" t="n">
        <v>2024</v>
      </c>
      <c r="E1192" s="5" t="n"/>
      <c r="F1192" s="5" t="n"/>
      <c r="G1192" s="5" t="n">
        <v>407</v>
      </c>
      <c r="H1192" s="10">
        <f>IF(E1192&gt;0,G1192/E1192,"")</f>
        <v/>
      </c>
      <c r="I1192" s="11">
        <f>IF(AND(F1192&gt;0,G1192&gt;0),F1192/G1192,"")</f>
        <v/>
      </c>
    </row>
    <row r="1193">
      <c r="A1193" s="4" t="inlineStr">
        <is>
          <t>421</t>
        </is>
      </c>
      <c r="B1193" s="4" t="n">
        <v>4</v>
      </c>
      <c r="C1193" s="4" t="inlineStr">
        <is>
          <t>whitetail</t>
        </is>
      </c>
      <c r="D1193" s="4" t="n">
        <v>2025</v>
      </c>
      <c r="E1193" s="5" t="n">
        <v>1325</v>
      </c>
      <c r="F1193" s="5" t="n">
        <v>7802</v>
      </c>
      <c r="G1193" s="5" t="n">
        <v>397</v>
      </c>
      <c r="H1193" s="10">
        <f>IF(E1193&gt;0,G1193/E1193,"")</f>
        <v/>
      </c>
      <c r="I1193" s="11">
        <f>IF(AND(F1193&gt;0,G1193&gt;0),F1193/G1193,"")</f>
        <v/>
      </c>
    </row>
    <row r="1194">
      <c r="A1194" s="4" t="inlineStr">
        <is>
          <t>422</t>
        </is>
      </c>
      <c r="B1194" s="4" t="n">
        <v>4</v>
      </c>
      <c r="C1194" s="4" t="inlineStr">
        <is>
          <t>whitetail</t>
        </is>
      </c>
      <c r="D1194" s="4" t="n">
        <v>2021</v>
      </c>
      <c r="E1194" s="5" t="n">
        <v>462</v>
      </c>
      <c r="F1194" s="5" t="n">
        <v>2469</v>
      </c>
      <c r="G1194" s="5" t="n">
        <v>134</v>
      </c>
      <c r="H1194" s="10">
        <f>IF(E1194&gt;0,G1194/E1194,"")</f>
        <v/>
      </c>
      <c r="I1194" s="11">
        <f>IF(AND(F1194&gt;0,G1194&gt;0),F1194/G1194,"")</f>
        <v/>
      </c>
    </row>
    <row r="1195">
      <c r="A1195" s="4" t="inlineStr">
        <is>
          <t>422</t>
        </is>
      </c>
      <c r="B1195" s="4" t="n">
        <v>4</v>
      </c>
      <c r="C1195" s="4" t="inlineStr">
        <is>
          <t>whitetail</t>
        </is>
      </c>
      <c r="D1195" s="4" t="n">
        <v>2022</v>
      </c>
      <c r="E1195" s="5" t="n"/>
      <c r="F1195" s="5" t="n"/>
      <c r="G1195" s="5" t="n">
        <v>119</v>
      </c>
      <c r="H1195" s="10">
        <f>IF(E1195&gt;0,G1195/E1195,"")</f>
        <v/>
      </c>
      <c r="I1195" s="11">
        <f>IF(AND(F1195&gt;0,G1195&gt;0),F1195/G1195,"")</f>
        <v/>
      </c>
    </row>
    <row r="1196">
      <c r="A1196" s="4" t="inlineStr">
        <is>
          <t>422</t>
        </is>
      </c>
      <c r="B1196" s="4" t="n">
        <v>4</v>
      </c>
      <c r="C1196" s="4" t="inlineStr">
        <is>
          <t>whitetail</t>
        </is>
      </c>
      <c r="D1196" s="4" t="n">
        <v>2023</v>
      </c>
      <c r="E1196" s="5" t="n">
        <v>597</v>
      </c>
      <c r="F1196" s="5" t="n">
        <v>3396</v>
      </c>
      <c r="G1196" s="5" t="n">
        <v>195</v>
      </c>
      <c r="H1196" s="10">
        <f>IF(E1196&gt;0,G1196/E1196,"")</f>
        <v/>
      </c>
      <c r="I1196" s="11">
        <f>IF(AND(F1196&gt;0,G1196&gt;0),F1196/G1196,"")</f>
        <v/>
      </c>
    </row>
    <row r="1197">
      <c r="A1197" s="4" t="inlineStr">
        <is>
          <t>422</t>
        </is>
      </c>
      <c r="B1197" s="4" t="n">
        <v>4</v>
      </c>
      <c r="C1197" s="4" t="inlineStr">
        <is>
          <t>whitetail</t>
        </is>
      </c>
      <c r="D1197" s="4" t="n">
        <v>2024</v>
      </c>
      <c r="E1197" s="5" t="n"/>
      <c r="F1197" s="5" t="n"/>
      <c r="G1197" s="5" t="n">
        <v>137</v>
      </c>
      <c r="H1197" s="10">
        <f>IF(E1197&gt;0,G1197/E1197,"")</f>
        <v/>
      </c>
      <c r="I1197" s="11">
        <f>IF(AND(F1197&gt;0,G1197&gt;0),F1197/G1197,"")</f>
        <v/>
      </c>
    </row>
    <row r="1198">
      <c r="A1198" s="4" t="inlineStr">
        <is>
          <t>422</t>
        </is>
      </c>
      <c r="B1198" s="4" t="n">
        <v>4</v>
      </c>
      <c r="C1198" s="4" t="inlineStr">
        <is>
          <t>whitetail</t>
        </is>
      </c>
      <c r="D1198" s="4" t="n">
        <v>2025</v>
      </c>
      <c r="E1198" s="5" t="n">
        <v>714</v>
      </c>
      <c r="F1198" s="5" t="n">
        <v>4040</v>
      </c>
      <c r="G1198" s="5" t="n">
        <v>187</v>
      </c>
      <c r="H1198" s="10">
        <f>IF(E1198&gt;0,G1198/E1198,"")</f>
        <v/>
      </c>
      <c r="I1198" s="11">
        <f>IF(AND(F1198&gt;0,G1198&gt;0),F1198/G1198,"")</f>
        <v/>
      </c>
    </row>
    <row r="1199">
      <c r="A1199" s="4" t="inlineStr">
        <is>
          <t>423</t>
        </is>
      </c>
      <c r="B1199" s="4" t="n">
        <v>4</v>
      </c>
      <c r="C1199" s="4" t="inlineStr">
        <is>
          <t>whitetail</t>
        </is>
      </c>
      <c r="D1199" s="4" t="n">
        <v>2021</v>
      </c>
      <c r="E1199" s="5" t="n">
        <v>378</v>
      </c>
      <c r="F1199" s="5" t="n">
        <v>1731</v>
      </c>
      <c r="G1199" s="5" t="n">
        <v>110</v>
      </c>
      <c r="H1199" s="10">
        <f>IF(E1199&gt;0,G1199/E1199,"")</f>
        <v/>
      </c>
      <c r="I1199" s="11">
        <f>IF(AND(F1199&gt;0,G1199&gt;0),F1199/G1199,"")</f>
        <v/>
      </c>
    </row>
    <row r="1200">
      <c r="A1200" s="4" t="inlineStr">
        <is>
          <t>424</t>
        </is>
      </c>
      <c r="B1200" s="4" t="n">
        <v>4</v>
      </c>
      <c r="C1200" s="4" t="inlineStr">
        <is>
          <t>whitetail</t>
        </is>
      </c>
      <c r="D1200" s="4" t="n">
        <v>2021</v>
      </c>
      <c r="E1200" s="5" t="n">
        <v>175</v>
      </c>
      <c r="F1200" s="5" t="n">
        <v>1273</v>
      </c>
      <c r="G1200" s="5" t="n">
        <v>12</v>
      </c>
      <c r="H1200" s="10">
        <f>IF(E1200&gt;0,G1200/E1200,"")</f>
        <v/>
      </c>
      <c r="I1200" s="11">
        <f>IF(AND(F1200&gt;0,G1200&gt;0),F1200/G1200,"")</f>
        <v/>
      </c>
    </row>
    <row r="1201">
      <c r="A1201" s="4" t="inlineStr">
        <is>
          <t>424</t>
        </is>
      </c>
      <c r="B1201" s="4" t="n">
        <v>4</v>
      </c>
      <c r="C1201" s="4" t="inlineStr">
        <is>
          <t>whitetail</t>
        </is>
      </c>
      <c r="D1201" s="4" t="n">
        <v>2022</v>
      </c>
      <c r="E1201" s="5" t="n"/>
      <c r="F1201" s="5" t="n"/>
      <c r="G1201" s="5" t="n">
        <v>23</v>
      </c>
      <c r="H1201" s="10">
        <f>IF(E1201&gt;0,G1201/E1201,"")</f>
        <v/>
      </c>
      <c r="I1201" s="11">
        <f>IF(AND(F1201&gt;0,G1201&gt;0),F1201/G1201,"")</f>
        <v/>
      </c>
    </row>
    <row r="1202">
      <c r="A1202" s="4" t="inlineStr">
        <is>
          <t>424</t>
        </is>
      </c>
      <c r="B1202" s="4" t="n">
        <v>4</v>
      </c>
      <c r="C1202" s="4" t="inlineStr">
        <is>
          <t>whitetail</t>
        </is>
      </c>
      <c r="D1202" s="4" t="n">
        <v>2023</v>
      </c>
      <c r="E1202" s="5" t="n">
        <v>168</v>
      </c>
      <c r="F1202" s="5" t="n">
        <v>861</v>
      </c>
      <c r="G1202" s="5" t="n">
        <v>7</v>
      </c>
      <c r="H1202" s="10">
        <f>IF(E1202&gt;0,G1202/E1202,"")</f>
        <v/>
      </c>
      <c r="I1202" s="11">
        <f>IF(AND(F1202&gt;0,G1202&gt;0),F1202/G1202,"")</f>
        <v/>
      </c>
    </row>
    <row r="1203">
      <c r="A1203" s="4" t="inlineStr">
        <is>
          <t>424</t>
        </is>
      </c>
      <c r="B1203" s="4" t="n">
        <v>4</v>
      </c>
      <c r="C1203" s="4" t="inlineStr">
        <is>
          <t>whitetail</t>
        </is>
      </c>
      <c r="D1203" s="4" t="n">
        <v>2024</v>
      </c>
      <c r="E1203" s="5" t="n"/>
      <c r="F1203" s="5" t="n"/>
      <c r="G1203" s="5" t="n">
        <v>15</v>
      </c>
      <c r="H1203" s="10">
        <f>IF(E1203&gt;0,G1203/E1203,"")</f>
        <v/>
      </c>
      <c r="I1203" s="11">
        <f>IF(AND(F1203&gt;0,G1203&gt;0),F1203/G1203,"")</f>
        <v/>
      </c>
    </row>
    <row r="1204">
      <c r="A1204" s="4" t="inlineStr">
        <is>
          <t>424</t>
        </is>
      </c>
      <c r="B1204" s="4" t="n">
        <v>4</v>
      </c>
      <c r="C1204" s="4" t="inlineStr">
        <is>
          <t>whitetail</t>
        </is>
      </c>
      <c r="D1204" s="4" t="n">
        <v>2025</v>
      </c>
      <c r="E1204" s="5" t="n">
        <v>217</v>
      </c>
      <c r="F1204" s="5" t="n">
        <v>1328</v>
      </c>
      <c r="G1204" s="5" t="n">
        <v>62</v>
      </c>
      <c r="H1204" s="10">
        <f>IF(E1204&gt;0,G1204/E1204,"")</f>
        <v/>
      </c>
      <c r="I1204" s="11">
        <f>IF(AND(F1204&gt;0,G1204&gt;0),F1204/G1204,"")</f>
        <v/>
      </c>
    </row>
    <row r="1205">
      <c r="A1205" s="4" t="inlineStr">
        <is>
          <t>425</t>
        </is>
      </c>
      <c r="B1205" s="4" t="n">
        <v>4</v>
      </c>
      <c r="C1205" s="4" t="inlineStr">
        <is>
          <t>whitetail</t>
        </is>
      </c>
      <c r="D1205" s="4" t="n">
        <v>2021</v>
      </c>
      <c r="E1205" s="5" t="n">
        <v>487</v>
      </c>
      <c r="F1205" s="5" t="n">
        <v>3082</v>
      </c>
      <c r="G1205" s="5" t="n">
        <v>106</v>
      </c>
      <c r="H1205" s="10">
        <f>IF(E1205&gt;0,G1205/E1205,"")</f>
        <v/>
      </c>
      <c r="I1205" s="11">
        <f>IF(AND(F1205&gt;0,G1205&gt;0),F1205/G1205,"")</f>
        <v/>
      </c>
    </row>
    <row r="1206">
      <c r="A1206" s="4" t="inlineStr">
        <is>
          <t>425</t>
        </is>
      </c>
      <c r="B1206" s="4" t="n">
        <v>4</v>
      </c>
      <c r="C1206" s="4" t="inlineStr">
        <is>
          <t>whitetail</t>
        </is>
      </c>
      <c r="D1206" s="4" t="n">
        <v>2022</v>
      </c>
      <c r="E1206" s="5" t="n"/>
      <c r="F1206" s="5" t="n"/>
      <c r="G1206" s="5" t="n">
        <v>115</v>
      </c>
      <c r="H1206" s="10">
        <f>IF(E1206&gt;0,G1206/E1206,"")</f>
        <v/>
      </c>
      <c r="I1206" s="11">
        <f>IF(AND(F1206&gt;0,G1206&gt;0),F1206/G1206,"")</f>
        <v/>
      </c>
    </row>
    <row r="1207">
      <c r="A1207" s="4" t="inlineStr">
        <is>
          <t>425</t>
        </is>
      </c>
      <c r="B1207" s="4" t="n">
        <v>4</v>
      </c>
      <c r="C1207" s="4" t="inlineStr">
        <is>
          <t>whitetail</t>
        </is>
      </c>
      <c r="D1207" s="4" t="n">
        <v>2023</v>
      </c>
      <c r="E1207" s="5" t="n">
        <v>534</v>
      </c>
      <c r="F1207" s="5" t="n">
        <v>2688</v>
      </c>
      <c r="G1207" s="5" t="n">
        <v>132</v>
      </c>
      <c r="H1207" s="10">
        <f>IF(E1207&gt;0,G1207/E1207,"")</f>
        <v/>
      </c>
      <c r="I1207" s="11">
        <f>IF(AND(F1207&gt;0,G1207&gt;0),F1207/G1207,"")</f>
        <v/>
      </c>
    </row>
    <row r="1208">
      <c r="A1208" s="4" t="inlineStr">
        <is>
          <t>425</t>
        </is>
      </c>
      <c r="B1208" s="4" t="n">
        <v>4</v>
      </c>
      <c r="C1208" s="4" t="inlineStr">
        <is>
          <t>whitetail</t>
        </is>
      </c>
      <c r="D1208" s="4" t="n">
        <v>2024</v>
      </c>
      <c r="E1208" s="5" t="n"/>
      <c r="F1208" s="5" t="n"/>
      <c r="G1208" s="5" t="n">
        <v>110</v>
      </c>
      <c r="H1208" s="10">
        <f>IF(E1208&gt;0,G1208/E1208,"")</f>
        <v/>
      </c>
      <c r="I1208" s="11">
        <f>IF(AND(F1208&gt;0,G1208&gt;0),F1208/G1208,"")</f>
        <v/>
      </c>
    </row>
    <row r="1209">
      <c r="A1209" s="4" t="inlineStr">
        <is>
          <t>425</t>
        </is>
      </c>
      <c r="B1209" s="4" t="n">
        <v>4</v>
      </c>
      <c r="C1209" s="4" t="inlineStr">
        <is>
          <t>whitetail</t>
        </is>
      </c>
      <c r="D1209" s="4" t="n">
        <v>2025</v>
      </c>
      <c r="E1209" s="5" t="n">
        <v>531</v>
      </c>
      <c r="F1209" s="5" t="n">
        <v>3020</v>
      </c>
      <c r="G1209" s="5" t="n">
        <v>114</v>
      </c>
      <c r="H1209" s="10">
        <f>IF(E1209&gt;0,G1209/E1209,"")</f>
        <v/>
      </c>
      <c r="I1209" s="11">
        <f>IF(AND(F1209&gt;0,G1209&gt;0),F1209/G1209,"")</f>
        <v/>
      </c>
    </row>
    <row r="1210">
      <c r="A1210" s="4" t="inlineStr">
        <is>
          <t>426</t>
        </is>
      </c>
      <c r="B1210" s="4" t="n">
        <v>4</v>
      </c>
      <c r="C1210" s="4" t="inlineStr">
        <is>
          <t>whitetail</t>
        </is>
      </c>
      <c r="D1210" s="4" t="n">
        <v>2021</v>
      </c>
      <c r="E1210" s="5" t="n">
        <v>1419</v>
      </c>
      <c r="F1210" s="5" t="n">
        <v>6958</v>
      </c>
      <c r="G1210" s="5" t="n">
        <v>127</v>
      </c>
      <c r="H1210" s="10">
        <f>IF(E1210&gt;0,G1210/E1210,"")</f>
        <v/>
      </c>
      <c r="I1210" s="11">
        <f>IF(AND(F1210&gt;0,G1210&gt;0),F1210/G1210,"")</f>
        <v/>
      </c>
    </row>
    <row r="1211">
      <c r="A1211" s="4" t="inlineStr">
        <is>
          <t>426</t>
        </is>
      </c>
      <c r="B1211" s="4" t="n">
        <v>4</v>
      </c>
      <c r="C1211" s="4" t="inlineStr">
        <is>
          <t>whitetail</t>
        </is>
      </c>
      <c r="D1211" s="4" t="n">
        <v>2022</v>
      </c>
      <c r="E1211" s="5" t="n"/>
      <c r="F1211" s="5" t="n"/>
      <c r="G1211" s="5" t="n">
        <v>159</v>
      </c>
      <c r="H1211" s="10">
        <f>IF(E1211&gt;0,G1211/E1211,"")</f>
        <v/>
      </c>
      <c r="I1211" s="11">
        <f>IF(AND(F1211&gt;0,G1211&gt;0),F1211/G1211,"")</f>
        <v/>
      </c>
    </row>
    <row r="1212">
      <c r="A1212" s="4" t="inlineStr">
        <is>
          <t>426</t>
        </is>
      </c>
      <c r="B1212" s="4" t="n">
        <v>4</v>
      </c>
      <c r="C1212" s="4" t="inlineStr">
        <is>
          <t>whitetail</t>
        </is>
      </c>
      <c r="D1212" s="4" t="n">
        <v>2023</v>
      </c>
      <c r="E1212" s="5" t="n">
        <v>1038</v>
      </c>
      <c r="F1212" s="5" t="n">
        <v>4844</v>
      </c>
      <c r="G1212" s="5" t="n">
        <v>138</v>
      </c>
      <c r="H1212" s="10">
        <f>IF(E1212&gt;0,G1212/E1212,"")</f>
        <v/>
      </c>
      <c r="I1212" s="11">
        <f>IF(AND(F1212&gt;0,G1212&gt;0),F1212/G1212,"")</f>
        <v/>
      </c>
    </row>
    <row r="1213">
      <c r="A1213" s="4" t="inlineStr">
        <is>
          <t>426</t>
        </is>
      </c>
      <c r="B1213" s="4" t="n">
        <v>4</v>
      </c>
      <c r="C1213" s="4" t="inlineStr">
        <is>
          <t>whitetail</t>
        </is>
      </c>
      <c r="D1213" s="4" t="n">
        <v>2024</v>
      </c>
      <c r="E1213" s="5" t="n"/>
      <c r="F1213" s="5" t="n"/>
      <c r="G1213" s="5" t="n">
        <v>129</v>
      </c>
      <c r="H1213" s="10">
        <f>IF(E1213&gt;0,G1213/E1213,"")</f>
        <v/>
      </c>
      <c r="I1213" s="11">
        <f>IF(AND(F1213&gt;0,G1213&gt;0),F1213/G1213,"")</f>
        <v/>
      </c>
    </row>
    <row r="1214">
      <c r="A1214" s="4" t="inlineStr">
        <is>
          <t>426</t>
        </is>
      </c>
      <c r="B1214" s="4" t="n">
        <v>4</v>
      </c>
      <c r="C1214" s="4" t="inlineStr">
        <is>
          <t>whitetail</t>
        </is>
      </c>
      <c r="D1214" s="4" t="n">
        <v>2025</v>
      </c>
      <c r="E1214" s="5" t="n">
        <v>835</v>
      </c>
      <c r="F1214" s="5" t="n">
        <v>4337</v>
      </c>
      <c r="G1214" s="5" t="n">
        <v>113</v>
      </c>
      <c r="H1214" s="10">
        <f>IF(E1214&gt;0,G1214/E1214,"")</f>
        <v/>
      </c>
      <c r="I1214" s="11">
        <f>IF(AND(F1214&gt;0,G1214&gt;0),F1214/G1214,"")</f>
        <v/>
      </c>
    </row>
    <row r="1215">
      <c r="A1215" s="4" t="inlineStr">
        <is>
          <t>432</t>
        </is>
      </c>
      <c r="B1215" s="4" t="n">
        <v>4</v>
      </c>
      <c r="C1215" s="4" t="inlineStr">
        <is>
          <t>whitetail</t>
        </is>
      </c>
      <c r="D1215" s="4" t="n">
        <v>2021</v>
      </c>
      <c r="E1215" s="5" t="n">
        <v>691</v>
      </c>
      <c r="F1215" s="5" t="n">
        <v>3436</v>
      </c>
      <c r="G1215" s="5" t="n">
        <v>75</v>
      </c>
      <c r="H1215" s="10">
        <f>IF(E1215&gt;0,G1215/E1215,"")</f>
        <v/>
      </c>
      <c r="I1215" s="11">
        <f>IF(AND(F1215&gt;0,G1215&gt;0),F1215/G1215,"")</f>
        <v/>
      </c>
    </row>
    <row r="1216">
      <c r="A1216" s="4" t="inlineStr">
        <is>
          <t>441</t>
        </is>
      </c>
      <c r="B1216" s="4" t="n">
        <v>4</v>
      </c>
      <c r="C1216" s="4" t="inlineStr">
        <is>
          <t>whitetail</t>
        </is>
      </c>
      <c r="D1216" s="4" t="n">
        <v>2021</v>
      </c>
      <c r="E1216" s="5" t="n">
        <v>526</v>
      </c>
      <c r="F1216" s="5" t="n">
        <v>3273</v>
      </c>
      <c r="G1216" s="5" t="n">
        <v>137</v>
      </c>
      <c r="H1216" s="10">
        <f>IF(E1216&gt;0,G1216/E1216,"")</f>
        <v/>
      </c>
      <c r="I1216" s="11">
        <f>IF(AND(F1216&gt;0,G1216&gt;0),F1216/G1216,"")</f>
        <v/>
      </c>
    </row>
    <row r="1217">
      <c r="A1217" s="4" t="inlineStr">
        <is>
          <t>441</t>
        </is>
      </c>
      <c r="B1217" s="4" t="n">
        <v>4</v>
      </c>
      <c r="C1217" s="4" t="inlineStr">
        <is>
          <t>whitetail</t>
        </is>
      </c>
      <c r="D1217" s="4" t="n">
        <v>2022</v>
      </c>
      <c r="E1217" s="5" t="n"/>
      <c r="F1217" s="5" t="n"/>
      <c r="G1217" s="5" t="n">
        <v>161</v>
      </c>
      <c r="H1217" s="10">
        <f>IF(E1217&gt;0,G1217/E1217,"")</f>
        <v/>
      </c>
      <c r="I1217" s="11">
        <f>IF(AND(F1217&gt;0,G1217&gt;0),F1217/G1217,"")</f>
        <v/>
      </c>
    </row>
    <row r="1218">
      <c r="A1218" s="4" t="inlineStr">
        <is>
          <t>441</t>
        </is>
      </c>
      <c r="B1218" s="4" t="n">
        <v>4</v>
      </c>
      <c r="C1218" s="4" t="inlineStr">
        <is>
          <t>whitetail</t>
        </is>
      </c>
      <c r="D1218" s="4" t="n">
        <v>2023</v>
      </c>
      <c r="E1218" s="5" t="n">
        <v>631</v>
      </c>
      <c r="F1218" s="5" t="n">
        <v>3567</v>
      </c>
      <c r="G1218" s="5" t="n">
        <v>185</v>
      </c>
      <c r="H1218" s="10">
        <f>IF(E1218&gt;0,G1218/E1218,"")</f>
        <v/>
      </c>
      <c r="I1218" s="11">
        <f>IF(AND(F1218&gt;0,G1218&gt;0),F1218/G1218,"")</f>
        <v/>
      </c>
    </row>
    <row r="1219">
      <c r="A1219" s="4" t="inlineStr">
        <is>
          <t>441</t>
        </is>
      </c>
      <c r="B1219" s="4" t="n">
        <v>4</v>
      </c>
      <c r="C1219" s="4" t="inlineStr">
        <is>
          <t>whitetail</t>
        </is>
      </c>
      <c r="D1219" s="4" t="n">
        <v>2024</v>
      </c>
      <c r="E1219" s="5" t="n"/>
      <c r="F1219" s="5" t="n"/>
      <c r="G1219" s="5" t="n">
        <v>149</v>
      </c>
      <c r="H1219" s="10">
        <f>IF(E1219&gt;0,G1219/E1219,"")</f>
        <v/>
      </c>
      <c r="I1219" s="11">
        <f>IF(AND(F1219&gt;0,G1219&gt;0),F1219/G1219,"")</f>
        <v/>
      </c>
    </row>
    <row r="1220">
      <c r="A1220" s="4" t="inlineStr">
        <is>
          <t>441</t>
        </is>
      </c>
      <c r="B1220" s="4" t="n">
        <v>4</v>
      </c>
      <c r="C1220" s="4" t="inlineStr">
        <is>
          <t>whitetail</t>
        </is>
      </c>
      <c r="D1220" s="4" t="n">
        <v>2025</v>
      </c>
      <c r="E1220" s="5" t="n">
        <v>532</v>
      </c>
      <c r="F1220" s="5" t="n">
        <v>3236</v>
      </c>
      <c r="G1220" s="5" t="n">
        <v>144</v>
      </c>
      <c r="H1220" s="10">
        <f>IF(E1220&gt;0,G1220/E1220,"")</f>
        <v/>
      </c>
      <c r="I1220" s="11">
        <f>IF(AND(F1220&gt;0,G1220&gt;0),F1220/G1220,"")</f>
        <v/>
      </c>
    </row>
    <row r="1221">
      <c r="A1221" s="4" t="inlineStr">
        <is>
          <t>442</t>
        </is>
      </c>
      <c r="B1221" s="4" t="n">
        <v>4</v>
      </c>
      <c r="C1221" s="4" t="inlineStr">
        <is>
          <t>whitetail</t>
        </is>
      </c>
      <c r="D1221" s="4" t="n">
        <v>2021</v>
      </c>
      <c r="E1221" s="5" t="n">
        <v>498</v>
      </c>
      <c r="F1221" s="5" t="n">
        <v>2747</v>
      </c>
      <c r="G1221" s="5" t="n">
        <v>70</v>
      </c>
      <c r="H1221" s="10">
        <f>IF(E1221&gt;0,G1221/E1221,"")</f>
        <v/>
      </c>
      <c r="I1221" s="11">
        <f>IF(AND(F1221&gt;0,G1221&gt;0),F1221/G1221,"")</f>
        <v/>
      </c>
    </row>
    <row r="1222">
      <c r="A1222" s="4" t="inlineStr">
        <is>
          <t>442</t>
        </is>
      </c>
      <c r="B1222" s="4" t="n">
        <v>4</v>
      </c>
      <c r="C1222" s="4" t="inlineStr">
        <is>
          <t>whitetail</t>
        </is>
      </c>
      <c r="D1222" s="4" t="n">
        <v>2022</v>
      </c>
      <c r="E1222" s="5" t="n"/>
      <c r="F1222" s="5" t="n"/>
      <c r="G1222" s="5" t="n">
        <v>90</v>
      </c>
      <c r="H1222" s="10">
        <f>IF(E1222&gt;0,G1222/E1222,"")</f>
        <v/>
      </c>
      <c r="I1222" s="11">
        <f>IF(AND(F1222&gt;0,G1222&gt;0),F1222/G1222,"")</f>
        <v/>
      </c>
    </row>
    <row r="1223">
      <c r="A1223" s="4" t="inlineStr">
        <is>
          <t>442</t>
        </is>
      </c>
      <c r="B1223" s="4" t="n">
        <v>4</v>
      </c>
      <c r="C1223" s="4" t="inlineStr">
        <is>
          <t>whitetail</t>
        </is>
      </c>
      <c r="D1223" s="4" t="n">
        <v>2023</v>
      </c>
      <c r="E1223" s="5" t="n">
        <v>449</v>
      </c>
      <c r="F1223" s="5" t="n">
        <v>2913</v>
      </c>
      <c r="G1223" s="5" t="n">
        <v>83</v>
      </c>
      <c r="H1223" s="10">
        <f>IF(E1223&gt;0,G1223/E1223,"")</f>
        <v/>
      </c>
      <c r="I1223" s="11">
        <f>IF(AND(F1223&gt;0,G1223&gt;0),F1223/G1223,"")</f>
        <v/>
      </c>
    </row>
    <row r="1224">
      <c r="A1224" s="4" t="inlineStr">
        <is>
          <t>442</t>
        </is>
      </c>
      <c r="B1224" s="4" t="n">
        <v>4</v>
      </c>
      <c r="C1224" s="4" t="inlineStr">
        <is>
          <t>whitetail</t>
        </is>
      </c>
      <c r="D1224" s="4" t="n">
        <v>2024</v>
      </c>
      <c r="E1224" s="5" t="n"/>
      <c r="F1224" s="5" t="n"/>
      <c r="G1224" s="5" t="n">
        <v>79</v>
      </c>
      <c r="H1224" s="10">
        <f>IF(E1224&gt;0,G1224/E1224,"")</f>
        <v/>
      </c>
      <c r="I1224" s="11">
        <f>IF(AND(F1224&gt;0,G1224&gt;0),F1224/G1224,"")</f>
        <v/>
      </c>
    </row>
    <row r="1225">
      <c r="A1225" s="4" t="inlineStr">
        <is>
          <t>442</t>
        </is>
      </c>
      <c r="B1225" s="4" t="n">
        <v>4</v>
      </c>
      <c r="C1225" s="4" t="inlineStr">
        <is>
          <t>whitetail</t>
        </is>
      </c>
      <c r="D1225" s="4" t="n">
        <v>2025</v>
      </c>
      <c r="E1225" s="5" t="n">
        <v>410</v>
      </c>
      <c r="F1225" s="5" t="n">
        <v>2463</v>
      </c>
      <c r="G1225" s="5" t="n">
        <v>67</v>
      </c>
      <c r="H1225" s="10">
        <f>IF(E1225&gt;0,G1225/E1225,"")</f>
        <v/>
      </c>
      <c r="I1225" s="11">
        <f>IF(AND(F1225&gt;0,G1225&gt;0),F1225/G1225,"")</f>
        <v/>
      </c>
    </row>
    <row r="1226">
      <c r="A1226" s="4" t="inlineStr">
        <is>
          <t>444</t>
        </is>
      </c>
      <c r="B1226" s="4" t="n">
        <v>4</v>
      </c>
      <c r="C1226" s="4" t="inlineStr">
        <is>
          <t>whitetail</t>
        </is>
      </c>
      <c r="D1226" s="4" t="n">
        <v>2021</v>
      </c>
      <c r="E1226" s="5" t="n">
        <v>845</v>
      </c>
      <c r="F1226" s="5" t="n">
        <v>4457</v>
      </c>
      <c r="G1226" s="5" t="n">
        <v>563</v>
      </c>
      <c r="H1226" s="10">
        <f>IF(E1226&gt;0,G1226/E1226,"")</f>
        <v/>
      </c>
      <c r="I1226" s="11">
        <f>IF(AND(F1226&gt;0,G1226&gt;0),F1226/G1226,"")</f>
        <v/>
      </c>
    </row>
    <row r="1227">
      <c r="A1227" s="4" t="inlineStr">
        <is>
          <t>444</t>
        </is>
      </c>
      <c r="B1227" s="4" t="n">
        <v>4</v>
      </c>
      <c r="C1227" s="4" t="inlineStr">
        <is>
          <t>whitetail</t>
        </is>
      </c>
      <c r="D1227" s="4" t="n">
        <v>2022</v>
      </c>
      <c r="E1227" s="5" t="n"/>
      <c r="F1227" s="5" t="n"/>
      <c r="G1227" s="5" t="n">
        <v>379</v>
      </c>
      <c r="H1227" s="10">
        <f>IF(E1227&gt;0,G1227/E1227,"")</f>
        <v/>
      </c>
      <c r="I1227" s="11">
        <f>IF(AND(F1227&gt;0,G1227&gt;0),F1227/G1227,"")</f>
        <v/>
      </c>
    </row>
    <row r="1228">
      <c r="A1228" s="4" t="inlineStr">
        <is>
          <t>444</t>
        </is>
      </c>
      <c r="B1228" s="4" t="n">
        <v>4</v>
      </c>
      <c r="C1228" s="4" t="inlineStr">
        <is>
          <t>whitetail</t>
        </is>
      </c>
      <c r="D1228" s="4" t="n">
        <v>2023</v>
      </c>
      <c r="E1228" s="5" t="n">
        <v>750</v>
      </c>
      <c r="F1228" s="5" t="n">
        <v>4082</v>
      </c>
      <c r="G1228" s="5" t="n">
        <v>426</v>
      </c>
      <c r="H1228" s="10">
        <f>IF(E1228&gt;0,G1228/E1228,"")</f>
        <v/>
      </c>
      <c r="I1228" s="11">
        <f>IF(AND(F1228&gt;0,G1228&gt;0),F1228/G1228,"")</f>
        <v/>
      </c>
    </row>
    <row r="1229">
      <c r="A1229" s="4" t="inlineStr">
        <is>
          <t>444</t>
        </is>
      </c>
      <c r="B1229" s="4" t="n">
        <v>4</v>
      </c>
      <c r="C1229" s="4" t="inlineStr">
        <is>
          <t>whitetail</t>
        </is>
      </c>
      <c r="D1229" s="4" t="n">
        <v>2024</v>
      </c>
      <c r="E1229" s="5" t="n"/>
      <c r="F1229" s="5" t="n"/>
      <c r="G1229" s="5" t="n">
        <v>577</v>
      </c>
      <c r="H1229" s="10">
        <f>IF(E1229&gt;0,G1229/E1229,"")</f>
        <v/>
      </c>
      <c r="I1229" s="11">
        <f>IF(AND(F1229&gt;0,G1229&gt;0),F1229/G1229,"")</f>
        <v/>
      </c>
    </row>
    <row r="1230">
      <c r="A1230" s="4" t="inlineStr">
        <is>
          <t>444</t>
        </is>
      </c>
      <c r="B1230" s="4" t="n">
        <v>4</v>
      </c>
      <c r="C1230" s="4" t="inlineStr">
        <is>
          <t>whitetail</t>
        </is>
      </c>
      <c r="D1230" s="4" t="n">
        <v>2025</v>
      </c>
      <c r="E1230" s="5" t="n">
        <v>840</v>
      </c>
      <c r="F1230" s="5" t="n">
        <v>5719</v>
      </c>
      <c r="G1230" s="5" t="n">
        <v>491</v>
      </c>
      <c r="H1230" s="10">
        <f>IF(E1230&gt;0,G1230/E1230,"")</f>
        <v/>
      </c>
      <c r="I1230" s="11">
        <f>IF(AND(F1230&gt;0,G1230&gt;0),F1230/G1230,"")</f>
        <v/>
      </c>
    </row>
    <row r="1231">
      <c r="A1231" s="4" t="inlineStr">
        <is>
          <t>445</t>
        </is>
      </c>
      <c r="B1231" s="4" t="n">
        <v>4</v>
      </c>
      <c r="C1231" s="4" t="inlineStr">
        <is>
          <t>whitetail</t>
        </is>
      </c>
      <c r="D1231" s="4" t="n">
        <v>2021</v>
      </c>
      <c r="E1231" s="5" t="n">
        <v>1257</v>
      </c>
      <c r="F1231" s="5" t="n">
        <v>6120</v>
      </c>
      <c r="G1231" s="5" t="n">
        <v>538</v>
      </c>
      <c r="H1231" s="10">
        <f>IF(E1231&gt;0,G1231/E1231,"")</f>
        <v/>
      </c>
      <c r="I1231" s="11">
        <f>IF(AND(F1231&gt;0,G1231&gt;0),F1231/G1231,"")</f>
        <v/>
      </c>
    </row>
    <row r="1232">
      <c r="A1232" s="4" t="inlineStr">
        <is>
          <t>445</t>
        </is>
      </c>
      <c r="B1232" s="4" t="n">
        <v>4</v>
      </c>
      <c r="C1232" s="4" t="inlineStr">
        <is>
          <t>whitetail</t>
        </is>
      </c>
      <c r="D1232" s="4" t="n">
        <v>2022</v>
      </c>
      <c r="E1232" s="5" t="n"/>
      <c r="F1232" s="5" t="n"/>
      <c r="G1232" s="5" t="n">
        <v>565</v>
      </c>
      <c r="H1232" s="10">
        <f>IF(E1232&gt;0,G1232/E1232,"")</f>
        <v/>
      </c>
      <c r="I1232" s="11">
        <f>IF(AND(F1232&gt;0,G1232&gt;0),F1232/G1232,"")</f>
        <v/>
      </c>
    </row>
    <row r="1233">
      <c r="A1233" s="4" t="inlineStr">
        <is>
          <t>445</t>
        </is>
      </c>
      <c r="B1233" s="4" t="n">
        <v>4</v>
      </c>
      <c r="C1233" s="4" t="inlineStr">
        <is>
          <t>whitetail</t>
        </is>
      </c>
      <c r="D1233" s="4" t="n">
        <v>2023</v>
      </c>
      <c r="E1233" s="5" t="n">
        <v>1225</v>
      </c>
      <c r="F1233" s="5" t="n">
        <v>6216</v>
      </c>
      <c r="G1233" s="5" t="n">
        <v>548</v>
      </c>
      <c r="H1233" s="10">
        <f>IF(E1233&gt;0,G1233/E1233,"")</f>
        <v/>
      </c>
      <c r="I1233" s="11">
        <f>IF(AND(F1233&gt;0,G1233&gt;0),F1233/G1233,"")</f>
        <v/>
      </c>
    </row>
    <row r="1234">
      <c r="A1234" s="4" t="inlineStr">
        <is>
          <t>445</t>
        </is>
      </c>
      <c r="B1234" s="4" t="n">
        <v>4</v>
      </c>
      <c r="C1234" s="4" t="inlineStr">
        <is>
          <t>whitetail</t>
        </is>
      </c>
      <c r="D1234" s="4" t="n">
        <v>2024</v>
      </c>
      <c r="E1234" s="5" t="n"/>
      <c r="F1234" s="5" t="n"/>
      <c r="G1234" s="5" t="n">
        <v>707</v>
      </c>
      <c r="H1234" s="10">
        <f>IF(E1234&gt;0,G1234/E1234,"")</f>
        <v/>
      </c>
      <c r="I1234" s="11">
        <f>IF(AND(F1234&gt;0,G1234&gt;0),F1234/G1234,"")</f>
        <v/>
      </c>
    </row>
    <row r="1235">
      <c r="A1235" s="4" t="inlineStr">
        <is>
          <t>445</t>
        </is>
      </c>
      <c r="B1235" s="4" t="n">
        <v>4</v>
      </c>
      <c r="C1235" s="4" t="inlineStr">
        <is>
          <t>whitetail</t>
        </is>
      </c>
      <c r="D1235" s="4" t="n">
        <v>2025</v>
      </c>
      <c r="E1235" s="5" t="n">
        <v>1281</v>
      </c>
      <c r="F1235" s="5" t="n">
        <v>6561</v>
      </c>
      <c r="G1235" s="5" t="n">
        <v>658</v>
      </c>
      <c r="H1235" s="10">
        <f>IF(E1235&gt;0,G1235/E1235,"")</f>
        <v/>
      </c>
      <c r="I1235" s="11">
        <f>IF(AND(F1235&gt;0,G1235&gt;0),F1235/G1235,"")</f>
        <v/>
      </c>
    </row>
    <row r="1236">
      <c r="A1236" s="4" t="inlineStr">
        <is>
          <t>446</t>
        </is>
      </c>
      <c r="B1236" s="4" t="n">
        <v>4</v>
      </c>
      <c r="C1236" s="4" t="inlineStr">
        <is>
          <t>whitetail</t>
        </is>
      </c>
      <c r="D1236" s="4" t="n">
        <v>2021</v>
      </c>
      <c r="E1236" s="5" t="n">
        <v>855</v>
      </c>
      <c r="F1236" s="5" t="n">
        <v>4891</v>
      </c>
      <c r="G1236" s="5" t="n">
        <v>225</v>
      </c>
      <c r="H1236" s="10">
        <f>IF(E1236&gt;0,G1236/E1236,"")</f>
        <v/>
      </c>
      <c r="I1236" s="11">
        <f>IF(AND(F1236&gt;0,G1236&gt;0),F1236/G1236,"")</f>
        <v/>
      </c>
    </row>
    <row r="1237">
      <c r="A1237" s="4" t="inlineStr">
        <is>
          <t>446</t>
        </is>
      </c>
      <c r="B1237" s="4" t="n">
        <v>4</v>
      </c>
      <c r="C1237" s="4" t="inlineStr">
        <is>
          <t>whitetail</t>
        </is>
      </c>
      <c r="D1237" s="4" t="n">
        <v>2022</v>
      </c>
      <c r="E1237" s="5" t="n"/>
      <c r="F1237" s="5" t="n"/>
      <c r="G1237" s="5" t="n">
        <v>275</v>
      </c>
      <c r="H1237" s="10">
        <f>IF(E1237&gt;0,G1237/E1237,"")</f>
        <v/>
      </c>
      <c r="I1237" s="11">
        <f>IF(AND(F1237&gt;0,G1237&gt;0),F1237/G1237,"")</f>
        <v/>
      </c>
    </row>
    <row r="1238">
      <c r="A1238" s="4" t="inlineStr">
        <is>
          <t>446</t>
        </is>
      </c>
      <c r="B1238" s="4" t="n">
        <v>4</v>
      </c>
      <c r="C1238" s="4" t="inlineStr">
        <is>
          <t>whitetail</t>
        </is>
      </c>
      <c r="D1238" s="4" t="n">
        <v>2023</v>
      </c>
      <c r="E1238" s="5" t="n">
        <v>829</v>
      </c>
      <c r="F1238" s="5" t="n">
        <v>4900</v>
      </c>
      <c r="G1238" s="5" t="n">
        <v>218</v>
      </c>
      <c r="H1238" s="10">
        <f>IF(E1238&gt;0,G1238/E1238,"")</f>
        <v/>
      </c>
      <c r="I1238" s="11">
        <f>IF(AND(F1238&gt;0,G1238&gt;0),F1238/G1238,"")</f>
        <v/>
      </c>
    </row>
    <row r="1239">
      <c r="A1239" s="4" t="inlineStr">
        <is>
          <t>446</t>
        </is>
      </c>
      <c r="B1239" s="4" t="n">
        <v>4</v>
      </c>
      <c r="C1239" s="4" t="inlineStr">
        <is>
          <t>whitetail</t>
        </is>
      </c>
      <c r="D1239" s="4" t="n">
        <v>2024</v>
      </c>
      <c r="E1239" s="5" t="n"/>
      <c r="F1239" s="5" t="n"/>
      <c r="G1239" s="5" t="n">
        <v>231</v>
      </c>
      <c r="H1239" s="10">
        <f>IF(E1239&gt;0,G1239/E1239,"")</f>
        <v/>
      </c>
      <c r="I1239" s="11">
        <f>IF(AND(F1239&gt;0,G1239&gt;0),F1239/G1239,"")</f>
        <v/>
      </c>
    </row>
    <row r="1240">
      <c r="A1240" s="4" t="inlineStr">
        <is>
          <t>446</t>
        </is>
      </c>
      <c r="B1240" s="4" t="n">
        <v>4</v>
      </c>
      <c r="C1240" s="4" t="inlineStr">
        <is>
          <t>whitetail</t>
        </is>
      </c>
      <c r="D1240" s="4" t="n">
        <v>2025</v>
      </c>
      <c r="E1240" s="5" t="n">
        <v>792</v>
      </c>
      <c r="F1240" s="5" t="n">
        <v>5089</v>
      </c>
      <c r="G1240" s="5" t="n">
        <v>187</v>
      </c>
      <c r="H1240" s="10">
        <f>IF(E1240&gt;0,G1240/E1240,"")</f>
        <v/>
      </c>
      <c r="I1240" s="11">
        <f>IF(AND(F1240&gt;0,G1240&gt;0),F1240/G1240,"")</f>
        <v/>
      </c>
    </row>
    <row r="1241">
      <c r="A1241" s="4" t="inlineStr">
        <is>
          <t>447</t>
        </is>
      </c>
      <c r="B1241" s="4" t="n">
        <v>4</v>
      </c>
      <c r="C1241" s="4" t="inlineStr">
        <is>
          <t>whitetail</t>
        </is>
      </c>
      <c r="D1241" s="4" t="n">
        <v>2021</v>
      </c>
      <c r="E1241" s="5" t="n">
        <v>1817</v>
      </c>
      <c r="F1241" s="5" t="n">
        <v>9402</v>
      </c>
      <c r="G1241" s="5" t="n">
        <v>353</v>
      </c>
      <c r="H1241" s="10">
        <f>IF(E1241&gt;0,G1241/E1241,"")</f>
        <v/>
      </c>
      <c r="I1241" s="11">
        <f>IF(AND(F1241&gt;0,G1241&gt;0),F1241/G1241,"")</f>
        <v/>
      </c>
    </row>
    <row r="1242">
      <c r="A1242" s="4" t="inlineStr">
        <is>
          <t>447</t>
        </is>
      </c>
      <c r="B1242" s="4" t="n">
        <v>4</v>
      </c>
      <c r="C1242" s="4" t="inlineStr">
        <is>
          <t>whitetail</t>
        </is>
      </c>
      <c r="D1242" s="4" t="n">
        <v>2022</v>
      </c>
      <c r="E1242" s="5" t="n"/>
      <c r="F1242" s="5" t="n"/>
      <c r="G1242" s="5" t="n">
        <v>544</v>
      </c>
      <c r="H1242" s="10">
        <f>IF(E1242&gt;0,G1242/E1242,"")</f>
        <v/>
      </c>
      <c r="I1242" s="11">
        <f>IF(AND(F1242&gt;0,G1242&gt;0),F1242/G1242,"")</f>
        <v/>
      </c>
    </row>
    <row r="1243">
      <c r="A1243" s="4" t="inlineStr">
        <is>
          <t>447</t>
        </is>
      </c>
      <c r="B1243" s="4" t="n">
        <v>4</v>
      </c>
      <c r="C1243" s="4" t="inlineStr">
        <is>
          <t>whitetail</t>
        </is>
      </c>
      <c r="D1243" s="4" t="n">
        <v>2023</v>
      </c>
      <c r="E1243" s="5" t="n">
        <v>1712</v>
      </c>
      <c r="F1243" s="5" t="n">
        <v>9530</v>
      </c>
      <c r="G1243" s="5" t="n">
        <v>441</v>
      </c>
      <c r="H1243" s="10">
        <f>IF(E1243&gt;0,G1243/E1243,"")</f>
        <v/>
      </c>
      <c r="I1243" s="11">
        <f>IF(AND(F1243&gt;0,G1243&gt;0),F1243/G1243,"")</f>
        <v/>
      </c>
    </row>
    <row r="1244">
      <c r="A1244" s="4" t="inlineStr">
        <is>
          <t>447</t>
        </is>
      </c>
      <c r="B1244" s="4" t="n">
        <v>4</v>
      </c>
      <c r="C1244" s="4" t="inlineStr">
        <is>
          <t>whitetail</t>
        </is>
      </c>
      <c r="D1244" s="4" t="n">
        <v>2024</v>
      </c>
      <c r="E1244" s="5" t="n"/>
      <c r="F1244" s="5" t="n"/>
      <c r="G1244" s="5" t="n">
        <v>522</v>
      </c>
      <c r="H1244" s="10">
        <f>IF(E1244&gt;0,G1244/E1244,"")</f>
        <v/>
      </c>
      <c r="I1244" s="11">
        <f>IF(AND(F1244&gt;0,G1244&gt;0),F1244/G1244,"")</f>
        <v/>
      </c>
    </row>
    <row r="1245">
      <c r="A1245" s="4" t="inlineStr">
        <is>
          <t>447</t>
        </is>
      </c>
      <c r="B1245" s="4" t="n">
        <v>4</v>
      </c>
      <c r="C1245" s="4" t="inlineStr">
        <is>
          <t>whitetail</t>
        </is>
      </c>
      <c r="D1245" s="4" t="n">
        <v>2025</v>
      </c>
      <c r="E1245" s="5" t="n">
        <v>1613</v>
      </c>
      <c r="F1245" s="5" t="n">
        <v>9805</v>
      </c>
      <c r="G1245" s="5" t="n">
        <v>376</v>
      </c>
      <c r="H1245" s="10">
        <f>IF(E1245&gt;0,G1245/E1245,"")</f>
        <v/>
      </c>
      <c r="I1245" s="11">
        <f>IF(AND(F1245&gt;0,G1245&gt;0),F1245/G1245,"")</f>
        <v/>
      </c>
    </row>
    <row r="1246">
      <c r="A1246" s="4" t="inlineStr">
        <is>
          <t>448</t>
        </is>
      </c>
      <c r="B1246" s="4" t="n">
        <v>4</v>
      </c>
      <c r="C1246" s="4" t="inlineStr">
        <is>
          <t>whitetail</t>
        </is>
      </c>
      <c r="D1246" s="4" t="n">
        <v>2021</v>
      </c>
      <c r="E1246" s="5" t="n">
        <v>574</v>
      </c>
      <c r="F1246" s="5" t="n">
        <v>3981</v>
      </c>
      <c r="G1246" s="5" t="n">
        <v>68</v>
      </c>
      <c r="H1246" s="10">
        <f>IF(E1246&gt;0,G1246/E1246,"")</f>
        <v/>
      </c>
      <c r="I1246" s="11">
        <f>IF(AND(F1246&gt;0,G1246&gt;0),F1246/G1246,"")</f>
        <v/>
      </c>
    </row>
    <row r="1247">
      <c r="A1247" s="4" t="inlineStr">
        <is>
          <t>448</t>
        </is>
      </c>
      <c r="B1247" s="4" t="n">
        <v>4</v>
      </c>
      <c r="C1247" s="4" t="inlineStr">
        <is>
          <t>whitetail</t>
        </is>
      </c>
      <c r="D1247" s="4" t="n">
        <v>2022</v>
      </c>
      <c r="E1247" s="5" t="n"/>
      <c r="F1247" s="5" t="n"/>
      <c r="G1247" s="5" t="n">
        <v>68</v>
      </c>
      <c r="H1247" s="10">
        <f>IF(E1247&gt;0,G1247/E1247,"")</f>
        <v/>
      </c>
      <c r="I1247" s="11">
        <f>IF(AND(F1247&gt;0,G1247&gt;0),F1247/G1247,"")</f>
        <v/>
      </c>
    </row>
    <row r="1248">
      <c r="A1248" s="4" t="inlineStr">
        <is>
          <t>448</t>
        </is>
      </c>
      <c r="B1248" s="4" t="n">
        <v>4</v>
      </c>
      <c r="C1248" s="4" t="inlineStr">
        <is>
          <t>whitetail</t>
        </is>
      </c>
      <c r="D1248" s="4" t="n">
        <v>2023</v>
      </c>
      <c r="E1248" s="5" t="n">
        <v>677</v>
      </c>
      <c r="F1248" s="5" t="n">
        <v>3952</v>
      </c>
      <c r="G1248" s="5" t="n">
        <v>84</v>
      </c>
      <c r="H1248" s="10">
        <f>IF(E1248&gt;0,G1248/E1248,"")</f>
        <v/>
      </c>
      <c r="I1248" s="11">
        <f>IF(AND(F1248&gt;0,G1248&gt;0),F1248/G1248,"")</f>
        <v/>
      </c>
    </row>
    <row r="1249">
      <c r="A1249" s="4" t="inlineStr">
        <is>
          <t>448</t>
        </is>
      </c>
      <c r="B1249" s="4" t="n">
        <v>4</v>
      </c>
      <c r="C1249" s="4" t="inlineStr">
        <is>
          <t>whitetail</t>
        </is>
      </c>
      <c r="D1249" s="4" t="n">
        <v>2024</v>
      </c>
      <c r="E1249" s="5" t="n"/>
      <c r="F1249" s="5" t="n"/>
      <c r="G1249" s="5" t="n">
        <v>93</v>
      </c>
      <c r="H1249" s="10">
        <f>IF(E1249&gt;0,G1249/E1249,"")</f>
        <v/>
      </c>
      <c r="I1249" s="11">
        <f>IF(AND(F1249&gt;0,G1249&gt;0),F1249/G1249,"")</f>
        <v/>
      </c>
    </row>
    <row r="1250">
      <c r="A1250" s="4" t="inlineStr">
        <is>
          <t>448</t>
        </is>
      </c>
      <c r="B1250" s="4" t="n">
        <v>4</v>
      </c>
      <c r="C1250" s="4" t="inlineStr">
        <is>
          <t>whitetail</t>
        </is>
      </c>
      <c r="D1250" s="4" t="n">
        <v>2025</v>
      </c>
      <c r="E1250" s="5" t="n">
        <v>788</v>
      </c>
      <c r="F1250" s="5" t="n">
        <v>5434</v>
      </c>
      <c r="G1250" s="5" t="n">
        <v>91</v>
      </c>
      <c r="H1250" s="10">
        <f>IF(E1250&gt;0,G1250/E1250,"")</f>
        <v/>
      </c>
      <c r="I1250" s="11">
        <f>IF(AND(F1250&gt;0,G1250&gt;0),F1250/G1250,"")</f>
        <v/>
      </c>
    </row>
    <row r="1251">
      <c r="A1251" s="4" t="inlineStr">
        <is>
          <t>450</t>
        </is>
      </c>
      <c r="B1251" s="4" t="n">
        <v>4</v>
      </c>
      <c r="C1251" s="4" t="inlineStr">
        <is>
          <t>whitetail</t>
        </is>
      </c>
      <c r="D1251" s="4" t="n">
        <v>2021</v>
      </c>
      <c r="E1251" s="5" t="n">
        <v>348</v>
      </c>
      <c r="F1251" s="5" t="n">
        <v>1865</v>
      </c>
      <c r="G1251" s="5" t="n">
        <v>76</v>
      </c>
      <c r="H1251" s="10">
        <f>IF(E1251&gt;0,G1251/E1251,"")</f>
        <v/>
      </c>
      <c r="I1251" s="11">
        <f>IF(AND(F1251&gt;0,G1251&gt;0),F1251/G1251,"")</f>
        <v/>
      </c>
    </row>
    <row r="1252">
      <c r="A1252" s="4" t="inlineStr">
        <is>
          <t>450</t>
        </is>
      </c>
      <c r="B1252" s="4" t="n">
        <v>4</v>
      </c>
      <c r="C1252" s="4" t="inlineStr">
        <is>
          <t>whitetail</t>
        </is>
      </c>
      <c r="D1252" s="4" t="n">
        <v>2022</v>
      </c>
      <c r="E1252" s="5" t="n"/>
      <c r="F1252" s="5" t="n"/>
      <c r="G1252" s="5" t="n">
        <v>136</v>
      </c>
      <c r="H1252" s="10">
        <f>IF(E1252&gt;0,G1252/E1252,"")</f>
        <v/>
      </c>
      <c r="I1252" s="11">
        <f>IF(AND(F1252&gt;0,G1252&gt;0),F1252/G1252,"")</f>
        <v/>
      </c>
    </row>
    <row r="1253">
      <c r="A1253" s="4" t="inlineStr">
        <is>
          <t>450</t>
        </is>
      </c>
      <c r="B1253" s="4" t="n">
        <v>4</v>
      </c>
      <c r="C1253" s="4" t="inlineStr">
        <is>
          <t>whitetail</t>
        </is>
      </c>
      <c r="D1253" s="4" t="n">
        <v>2023</v>
      </c>
      <c r="E1253" s="5" t="n">
        <v>541</v>
      </c>
      <c r="F1253" s="5" t="n">
        <v>2843</v>
      </c>
      <c r="G1253" s="5" t="n">
        <v>156</v>
      </c>
      <c r="H1253" s="10">
        <f>IF(E1253&gt;0,G1253/E1253,"")</f>
        <v/>
      </c>
      <c r="I1253" s="11">
        <f>IF(AND(F1253&gt;0,G1253&gt;0),F1253/G1253,"")</f>
        <v/>
      </c>
    </row>
    <row r="1254">
      <c r="A1254" s="4" t="inlineStr">
        <is>
          <t>450</t>
        </is>
      </c>
      <c r="B1254" s="4" t="n">
        <v>4</v>
      </c>
      <c r="C1254" s="4" t="inlineStr">
        <is>
          <t>whitetail</t>
        </is>
      </c>
      <c r="D1254" s="4" t="n">
        <v>2024</v>
      </c>
      <c r="E1254" s="5" t="n"/>
      <c r="F1254" s="5" t="n"/>
      <c r="G1254" s="5" t="n">
        <v>140</v>
      </c>
      <c r="H1254" s="10">
        <f>IF(E1254&gt;0,G1254/E1254,"")</f>
        <v/>
      </c>
      <c r="I1254" s="11">
        <f>IF(AND(F1254&gt;0,G1254&gt;0),F1254/G1254,"")</f>
        <v/>
      </c>
    </row>
    <row r="1255">
      <c r="A1255" s="4" t="inlineStr">
        <is>
          <t>450</t>
        </is>
      </c>
      <c r="B1255" s="4" t="n">
        <v>4</v>
      </c>
      <c r="C1255" s="4" t="inlineStr">
        <is>
          <t>whitetail</t>
        </is>
      </c>
      <c r="D1255" s="4" t="n">
        <v>2025</v>
      </c>
      <c r="E1255" s="5" t="n">
        <v>584</v>
      </c>
      <c r="F1255" s="5" t="n">
        <v>3678</v>
      </c>
      <c r="G1255" s="5" t="n">
        <v>115</v>
      </c>
      <c r="H1255" s="10">
        <f>IF(E1255&gt;0,G1255/E1255,"")</f>
        <v/>
      </c>
      <c r="I1255" s="11">
        <f>IF(AND(F1255&gt;0,G1255&gt;0),F1255/G1255,"")</f>
        <v/>
      </c>
    </row>
    <row r="1256">
      <c r="A1256" s="4" t="inlineStr">
        <is>
          <t>451</t>
        </is>
      </c>
      <c r="B1256" s="4" t="n">
        <v>4</v>
      </c>
      <c r="C1256" s="4" t="inlineStr">
        <is>
          <t>whitetail</t>
        </is>
      </c>
      <c r="D1256" s="4" t="n">
        <v>2021</v>
      </c>
      <c r="E1256" s="5" t="n">
        <v>101</v>
      </c>
      <c r="F1256" s="5" t="n">
        <v>499</v>
      </c>
      <c r="G1256" s="5" t="n">
        <v>15</v>
      </c>
      <c r="H1256" s="10">
        <f>IF(E1256&gt;0,G1256/E1256,"")</f>
        <v/>
      </c>
      <c r="I1256" s="11">
        <f>IF(AND(F1256&gt;0,G1256&gt;0),F1256/G1256,"")</f>
        <v/>
      </c>
    </row>
    <row r="1257">
      <c r="A1257" s="4" t="inlineStr">
        <is>
          <t>451</t>
        </is>
      </c>
      <c r="B1257" s="4" t="n">
        <v>4</v>
      </c>
      <c r="C1257" s="4" t="inlineStr">
        <is>
          <t>whitetail</t>
        </is>
      </c>
      <c r="D1257" s="4" t="n">
        <v>2022</v>
      </c>
      <c r="E1257" s="5" t="n"/>
      <c r="F1257" s="5" t="n"/>
      <c r="G1257" s="5" t="n">
        <v>13</v>
      </c>
      <c r="H1257" s="10">
        <f>IF(E1257&gt;0,G1257/E1257,"")</f>
        <v/>
      </c>
      <c r="I1257" s="11">
        <f>IF(AND(F1257&gt;0,G1257&gt;0),F1257/G1257,"")</f>
        <v/>
      </c>
    </row>
    <row r="1258">
      <c r="A1258" s="4" t="inlineStr">
        <is>
          <t>451</t>
        </is>
      </c>
      <c r="B1258" s="4" t="n">
        <v>4</v>
      </c>
      <c r="C1258" s="4" t="inlineStr">
        <is>
          <t>whitetail</t>
        </is>
      </c>
      <c r="D1258" s="4" t="n">
        <v>2023</v>
      </c>
      <c r="E1258" s="5" t="n">
        <v>104</v>
      </c>
      <c r="F1258" s="5" t="n">
        <v>621</v>
      </c>
      <c r="G1258" s="5" t="n">
        <v>17</v>
      </c>
      <c r="H1258" s="10">
        <f>IF(E1258&gt;0,G1258/E1258,"")</f>
        <v/>
      </c>
      <c r="I1258" s="11">
        <f>IF(AND(F1258&gt;0,G1258&gt;0),F1258/G1258,"")</f>
        <v/>
      </c>
    </row>
    <row r="1259">
      <c r="A1259" s="4" t="inlineStr">
        <is>
          <t>451</t>
        </is>
      </c>
      <c r="B1259" s="4" t="n">
        <v>4</v>
      </c>
      <c r="C1259" s="4" t="inlineStr">
        <is>
          <t>whitetail</t>
        </is>
      </c>
      <c r="D1259" s="4" t="n">
        <v>2024</v>
      </c>
      <c r="E1259" s="5" t="n"/>
      <c r="F1259" s="5" t="n"/>
      <c r="G1259" s="5" t="n">
        <v>20</v>
      </c>
      <c r="H1259" s="10">
        <f>IF(E1259&gt;0,G1259/E1259,"")</f>
        <v/>
      </c>
      <c r="I1259" s="11">
        <f>IF(AND(F1259&gt;0,G1259&gt;0),F1259/G1259,"")</f>
        <v/>
      </c>
    </row>
    <row r="1260">
      <c r="A1260" s="4" t="inlineStr">
        <is>
          <t>451</t>
        </is>
      </c>
      <c r="B1260" s="4" t="n">
        <v>4</v>
      </c>
      <c r="C1260" s="4" t="inlineStr">
        <is>
          <t>whitetail</t>
        </is>
      </c>
      <c r="D1260" s="4" t="n">
        <v>2025</v>
      </c>
      <c r="E1260" s="5" t="n">
        <v>144</v>
      </c>
      <c r="F1260" s="5" t="n">
        <v>1358</v>
      </c>
      <c r="G1260" s="5" t="n">
        <v>3</v>
      </c>
      <c r="H1260" s="10">
        <f>IF(E1260&gt;0,G1260/E1260,"")</f>
        <v/>
      </c>
      <c r="I1260" s="11">
        <f>IF(AND(F1260&gt;0,G1260&gt;0),F1260/G1260,"")</f>
        <v/>
      </c>
    </row>
    <row r="1261">
      <c r="A1261" s="4" t="inlineStr">
        <is>
          <t>452</t>
        </is>
      </c>
      <c r="B1261" s="4" t="n">
        <v>4</v>
      </c>
      <c r="C1261" s="4" t="inlineStr">
        <is>
          <t>whitetail</t>
        </is>
      </c>
      <c r="D1261" s="4" t="n">
        <v>2021</v>
      </c>
      <c r="E1261" s="5" t="n">
        <v>795</v>
      </c>
      <c r="F1261" s="5" t="n">
        <v>4337</v>
      </c>
      <c r="G1261" s="5" t="n">
        <v>123</v>
      </c>
      <c r="H1261" s="10">
        <f>IF(E1261&gt;0,G1261/E1261,"")</f>
        <v/>
      </c>
      <c r="I1261" s="11">
        <f>IF(AND(F1261&gt;0,G1261&gt;0),F1261/G1261,"")</f>
        <v/>
      </c>
    </row>
    <row r="1262">
      <c r="A1262" s="4" t="inlineStr">
        <is>
          <t>452</t>
        </is>
      </c>
      <c r="B1262" s="4" t="n">
        <v>4</v>
      </c>
      <c r="C1262" s="4" t="inlineStr">
        <is>
          <t>whitetail</t>
        </is>
      </c>
      <c r="D1262" s="4" t="n">
        <v>2022</v>
      </c>
      <c r="E1262" s="5" t="n"/>
      <c r="F1262" s="5" t="n"/>
      <c r="G1262" s="5" t="n">
        <v>152</v>
      </c>
      <c r="H1262" s="10">
        <f>IF(E1262&gt;0,G1262/E1262,"")</f>
        <v/>
      </c>
      <c r="I1262" s="11">
        <f>IF(AND(F1262&gt;0,G1262&gt;0),F1262/G1262,"")</f>
        <v/>
      </c>
    </row>
    <row r="1263">
      <c r="A1263" s="4" t="inlineStr">
        <is>
          <t>452</t>
        </is>
      </c>
      <c r="B1263" s="4" t="n">
        <v>4</v>
      </c>
      <c r="C1263" s="4" t="inlineStr">
        <is>
          <t>whitetail</t>
        </is>
      </c>
      <c r="D1263" s="4" t="n">
        <v>2023</v>
      </c>
      <c r="E1263" s="5" t="n">
        <v>830</v>
      </c>
      <c r="F1263" s="5" t="n">
        <v>5002</v>
      </c>
      <c r="G1263" s="5" t="n">
        <v>93</v>
      </c>
      <c r="H1263" s="10">
        <f>IF(E1263&gt;0,G1263/E1263,"")</f>
        <v/>
      </c>
      <c r="I1263" s="11">
        <f>IF(AND(F1263&gt;0,G1263&gt;0),F1263/G1263,"")</f>
        <v/>
      </c>
    </row>
    <row r="1264">
      <c r="A1264" s="4" t="inlineStr">
        <is>
          <t>452</t>
        </is>
      </c>
      <c r="B1264" s="4" t="n">
        <v>4</v>
      </c>
      <c r="C1264" s="4" t="inlineStr">
        <is>
          <t>whitetail</t>
        </is>
      </c>
      <c r="D1264" s="4" t="n">
        <v>2024</v>
      </c>
      <c r="E1264" s="5" t="n"/>
      <c r="F1264" s="5" t="n"/>
      <c r="G1264" s="5" t="n">
        <v>139</v>
      </c>
      <c r="H1264" s="10">
        <f>IF(E1264&gt;0,G1264/E1264,"")</f>
        <v/>
      </c>
      <c r="I1264" s="11">
        <f>IF(AND(F1264&gt;0,G1264&gt;0),F1264/G1264,"")</f>
        <v/>
      </c>
    </row>
    <row r="1265">
      <c r="A1265" s="4" t="inlineStr">
        <is>
          <t>452</t>
        </is>
      </c>
      <c r="B1265" s="4" t="n">
        <v>4</v>
      </c>
      <c r="C1265" s="4" t="inlineStr">
        <is>
          <t>whitetail</t>
        </is>
      </c>
      <c r="D1265" s="4" t="n">
        <v>2025</v>
      </c>
      <c r="E1265" s="5" t="n">
        <v>962</v>
      </c>
      <c r="F1265" s="5" t="n">
        <v>6026</v>
      </c>
      <c r="G1265" s="5" t="n">
        <v>113</v>
      </c>
      <c r="H1265" s="10">
        <f>IF(E1265&gt;0,G1265/E1265,"")</f>
        <v/>
      </c>
      <c r="I1265" s="11">
        <f>IF(AND(F1265&gt;0,G1265&gt;0),F1265/G1265,"")</f>
        <v/>
      </c>
    </row>
    <row r="1266">
      <c r="A1266" s="4" t="inlineStr">
        <is>
          <t>454</t>
        </is>
      </c>
      <c r="B1266" s="4" t="n">
        <v>4</v>
      </c>
      <c r="C1266" s="4" t="inlineStr">
        <is>
          <t>whitetail</t>
        </is>
      </c>
      <c r="D1266" s="4" t="n">
        <v>2021</v>
      </c>
      <c r="E1266" s="5" t="n">
        <v>542</v>
      </c>
      <c r="F1266" s="5" t="n">
        <v>3238</v>
      </c>
      <c r="G1266" s="5" t="n">
        <v>31</v>
      </c>
      <c r="H1266" s="10">
        <f>IF(E1266&gt;0,G1266/E1266,"")</f>
        <v/>
      </c>
      <c r="I1266" s="11">
        <f>IF(AND(F1266&gt;0,G1266&gt;0),F1266/G1266,"")</f>
        <v/>
      </c>
    </row>
    <row r="1267">
      <c r="A1267" s="4" t="inlineStr">
        <is>
          <t>455</t>
        </is>
      </c>
      <c r="B1267" s="4" t="n">
        <v>4</v>
      </c>
      <c r="C1267" s="4" t="inlineStr">
        <is>
          <t>whitetail</t>
        </is>
      </c>
      <c r="D1267" s="4" t="n">
        <v>2021</v>
      </c>
      <c r="E1267" s="5" t="n">
        <v>73</v>
      </c>
      <c r="F1267" s="5" t="n">
        <v>426</v>
      </c>
      <c r="G1267" s="5" t="n">
        <v>27</v>
      </c>
      <c r="H1267" s="10">
        <f>IF(E1267&gt;0,G1267/E1267,"")</f>
        <v/>
      </c>
      <c r="I1267" s="11">
        <f>IF(AND(F1267&gt;0,G1267&gt;0),F1267/G1267,"")</f>
        <v/>
      </c>
    </row>
    <row r="1268">
      <c r="A1268" s="4" t="inlineStr">
        <is>
          <t>455</t>
        </is>
      </c>
      <c r="B1268" s="4" t="n">
        <v>4</v>
      </c>
      <c r="C1268" s="4" t="inlineStr">
        <is>
          <t>whitetail</t>
        </is>
      </c>
      <c r="D1268" s="4" t="n">
        <v>2022</v>
      </c>
      <c r="E1268" s="5" t="n"/>
      <c r="F1268" s="5" t="n"/>
      <c r="G1268" s="5" t="n">
        <v>24</v>
      </c>
      <c r="H1268" s="10">
        <f>IF(E1268&gt;0,G1268/E1268,"")</f>
        <v/>
      </c>
      <c r="I1268" s="11">
        <f>IF(AND(F1268&gt;0,G1268&gt;0),F1268/G1268,"")</f>
        <v/>
      </c>
    </row>
    <row r="1269">
      <c r="A1269" s="4" t="inlineStr">
        <is>
          <t>455</t>
        </is>
      </c>
      <c r="B1269" s="4" t="n">
        <v>4</v>
      </c>
      <c r="C1269" s="4" t="inlineStr">
        <is>
          <t>whitetail</t>
        </is>
      </c>
      <c r="D1269" s="4" t="n">
        <v>2023</v>
      </c>
      <c r="E1269" s="5" t="n">
        <v>73</v>
      </c>
      <c r="F1269" s="5" t="n">
        <v>401</v>
      </c>
      <c r="G1269" s="5" t="n">
        <v>24</v>
      </c>
      <c r="H1269" s="10">
        <f>IF(E1269&gt;0,G1269/E1269,"")</f>
        <v/>
      </c>
      <c r="I1269" s="11">
        <f>IF(AND(F1269&gt;0,G1269&gt;0),F1269/G1269,"")</f>
        <v/>
      </c>
    </row>
    <row r="1270">
      <c r="A1270" s="4" t="inlineStr">
        <is>
          <t>455</t>
        </is>
      </c>
      <c r="B1270" s="4" t="n">
        <v>4</v>
      </c>
      <c r="C1270" s="4" t="inlineStr">
        <is>
          <t>whitetail</t>
        </is>
      </c>
      <c r="D1270" s="4" t="n">
        <v>2024</v>
      </c>
      <c r="E1270" s="5" t="n"/>
      <c r="F1270" s="5" t="n"/>
      <c r="G1270" s="5" t="n">
        <v>27</v>
      </c>
      <c r="H1270" s="10">
        <f>IF(E1270&gt;0,G1270/E1270,"")</f>
        <v/>
      </c>
      <c r="I1270" s="11">
        <f>IF(AND(F1270&gt;0,G1270&gt;0),F1270/G1270,"")</f>
        <v/>
      </c>
    </row>
    <row r="1271">
      <c r="A1271" s="4" t="inlineStr">
        <is>
          <t>455</t>
        </is>
      </c>
      <c r="B1271" s="4" t="n">
        <v>4</v>
      </c>
      <c r="C1271" s="4" t="inlineStr">
        <is>
          <t>whitetail</t>
        </is>
      </c>
      <c r="D1271" s="4" t="n">
        <v>2025</v>
      </c>
      <c r="E1271" s="5" t="n">
        <v>107</v>
      </c>
      <c r="F1271" s="5" t="n">
        <v>713</v>
      </c>
      <c r="G1271" s="5" t="n">
        <v>16</v>
      </c>
      <c r="H1271" s="10">
        <f>IF(E1271&gt;0,G1271/E1271,"")</f>
        <v/>
      </c>
      <c r="I1271" s="11">
        <f>IF(AND(F1271&gt;0,G1271&gt;0),F1271/G1271,"")</f>
        <v/>
      </c>
    </row>
    <row r="1272">
      <c r="A1272" s="4" t="inlineStr">
        <is>
          <t>471</t>
        </is>
      </c>
      <c r="B1272" s="4" t="n">
        <v>4</v>
      </c>
      <c r="C1272" s="4" t="inlineStr">
        <is>
          <t>whitetail</t>
        </is>
      </c>
      <c r="D1272" s="4" t="n">
        <v>2021</v>
      </c>
      <c r="E1272" s="5" t="n">
        <v>771</v>
      </c>
      <c r="F1272" s="5" t="n">
        <v>3574</v>
      </c>
      <c r="G1272" s="5" t="n">
        <v>59</v>
      </c>
      <c r="H1272" s="10">
        <f>IF(E1272&gt;0,G1272/E1272,"")</f>
        <v/>
      </c>
      <c r="I1272" s="11">
        <f>IF(AND(F1272&gt;0,G1272&gt;0),F1272/G1272,"")</f>
        <v/>
      </c>
    </row>
    <row r="1273">
      <c r="A1273" s="4" t="inlineStr">
        <is>
          <t>471</t>
        </is>
      </c>
      <c r="B1273" s="4" t="n">
        <v>4</v>
      </c>
      <c r="C1273" s="4" t="inlineStr">
        <is>
          <t>whitetail</t>
        </is>
      </c>
      <c r="D1273" s="4" t="n">
        <v>2022</v>
      </c>
      <c r="E1273" s="5" t="n"/>
      <c r="F1273" s="5" t="n"/>
      <c r="G1273" s="5" t="n">
        <v>57</v>
      </c>
      <c r="H1273" s="10">
        <f>IF(E1273&gt;0,G1273/E1273,"")</f>
        <v/>
      </c>
      <c r="I1273" s="11">
        <f>IF(AND(F1273&gt;0,G1273&gt;0),F1273/G1273,"")</f>
        <v/>
      </c>
    </row>
    <row r="1274">
      <c r="A1274" s="4" t="inlineStr">
        <is>
          <t>471</t>
        </is>
      </c>
      <c r="B1274" s="4" t="n">
        <v>4</v>
      </c>
      <c r="C1274" s="4" t="inlineStr">
        <is>
          <t>whitetail</t>
        </is>
      </c>
      <c r="D1274" s="4" t="n">
        <v>2023</v>
      </c>
      <c r="E1274" s="5" t="n">
        <v>813</v>
      </c>
      <c r="F1274" s="5" t="n">
        <v>3669</v>
      </c>
      <c r="G1274" s="5" t="n">
        <v>74</v>
      </c>
      <c r="H1274" s="10">
        <f>IF(E1274&gt;0,G1274/E1274,"")</f>
        <v/>
      </c>
      <c r="I1274" s="11">
        <f>IF(AND(F1274&gt;0,G1274&gt;0),F1274/G1274,"")</f>
        <v/>
      </c>
    </row>
    <row r="1275">
      <c r="A1275" s="4" t="inlineStr">
        <is>
          <t>471</t>
        </is>
      </c>
      <c r="B1275" s="4" t="n">
        <v>4</v>
      </c>
      <c r="C1275" s="4" t="inlineStr">
        <is>
          <t>whitetail</t>
        </is>
      </c>
      <c r="D1275" s="4" t="n">
        <v>2024</v>
      </c>
      <c r="E1275" s="5" t="n"/>
      <c r="F1275" s="5" t="n"/>
      <c r="G1275" s="5" t="n">
        <v>89</v>
      </c>
      <c r="H1275" s="10">
        <f>IF(E1275&gt;0,G1275/E1275,"")</f>
        <v/>
      </c>
      <c r="I1275" s="11">
        <f>IF(AND(F1275&gt;0,G1275&gt;0),F1275/G1275,"")</f>
        <v/>
      </c>
    </row>
    <row r="1276">
      <c r="A1276" s="4" t="inlineStr">
        <is>
          <t>471</t>
        </is>
      </c>
      <c r="B1276" s="4" t="n">
        <v>4</v>
      </c>
      <c r="C1276" s="4" t="inlineStr">
        <is>
          <t>whitetail</t>
        </is>
      </c>
      <c r="D1276" s="4" t="n">
        <v>2025</v>
      </c>
      <c r="E1276" s="5" t="n">
        <v>640</v>
      </c>
      <c r="F1276" s="5" t="n">
        <v>5298</v>
      </c>
      <c r="G1276" s="5" t="n">
        <v>45</v>
      </c>
      <c r="H1276" s="10">
        <f>IF(E1276&gt;0,G1276/E1276,"")</f>
        <v/>
      </c>
      <c r="I1276" s="11">
        <f>IF(AND(F1276&gt;0,G1276&gt;0),F1276/G1276,"")</f>
        <v/>
      </c>
    </row>
    <row r="1277">
      <c r="A1277" s="4" t="inlineStr">
        <is>
          <t>500</t>
        </is>
      </c>
      <c r="B1277" s="4" t="n">
        <v>5</v>
      </c>
      <c r="C1277" s="4" t="inlineStr">
        <is>
          <t>whitetail</t>
        </is>
      </c>
      <c r="D1277" s="4" t="n">
        <v>2021</v>
      </c>
      <c r="E1277" s="5" t="n">
        <v>2071</v>
      </c>
      <c r="F1277" s="5" t="n">
        <v>10264</v>
      </c>
      <c r="G1277" s="5" t="n">
        <v>212</v>
      </c>
      <c r="H1277" s="10">
        <f>IF(E1277&gt;0,G1277/E1277,"")</f>
        <v/>
      </c>
      <c r="I1277" s="11">
        <f>IF(AND(F1277&gt;0,G1277&gt;0),F1277/G1277,"")</f>
        <v/>
      </c>
    </row>
    <row r="1278">
      <c r="A1278" s="4" t="inlineStr">
        <is>
          <t>502</t>
        </is>
      </c>
      <c r="B1278" s="4" t="n">
        <v>5</v>
      </c>
      <c r="C1278" s="4" t="inlineStr">
        <is>
          <t>whitetail</t>
        </is>
      </c>
      <c r="D1278" s="4" t="n">
        <v>2021</v>
      </c>
      <c r="E1278" s="5" t="n">
        <v>1357</v>
      </c>
      <c r="F1278" s="5" t="n">
        <v>6709</v>
      </c>
      <c r="G1278" s="5" t="n">
        <v>277</v>
      </c>
      <c r="H1278" s="10">
        <f>IF(E1278&gt;0,G1278/E1278,"")</f>
        <v/>
      </c>
      <c r="I1278" s="11">
        <f>IF(AND(F1278&gt;0,G1278&gt;0),F1278/G1278,"")</f>
        <v/>
      </c>
    </row>
    <row r="1279">
      <c r="A1279" s="4" t="inlineStr">
        <is>
          <t>502</t>
        </is>
      </c>
      <c r="B1279" s="4" t="n">
        <v>5</v>
      </c>
      <c r="C1279" s="4" t="inlineStr">
        <is>
          <t>whitetail</t>
        </is>
      </c>
      <c r="D1279" s="4" t="n">
        <v>2022</v>
      </c>
      <c r="E1279" s="5" t="n"/>
      <c r="F1279" s="5" t="n"/>
      <c r="G1279" s="5" t="n">
        <v>413</v>
      </c>
      <c r="H1279" s="10">
        <f>IF(E1279&gt;0,G1279/E1279,"")</f>
        <v/>
      </c>
      <c r="I1279" s="11">
        <f>IF(AND(F1279&gt;0,G1279&gt;0),F1279/G1279,"")</f>
        <v/>
      </c>
    </row>
    <row r="1280">
      <c r="A1280" s="4" t="inlineStr">
        <is>
          <t>502</t>
        </is>
      </c>
      <c r="B1280" s="4" t="n">
        <v>5</v>
      </c>
      <c r="C1280" s="4" t="inlineStr">
        <is>
          <t>whitetail</t>
        </is>
      </c>
      <c r="D1280" s="4" t="n">
        <v>2023</v>
      </c>
      <c r="E1280" s="5" t="n">
        <v>1568</v>
      </c>
      <c r="F1280" s="5" t="n">
        <v>7793</v>
      </c>
      <c r="G1280" s="5" t="n">
        <v>319</v>
      </c>
      <c r="H1280" s="10">
        <f>IF(E1280&gt;0,G1280/E1280,"")</f>
        <v/>
      </c>
      <c r="I1280" s="11">
        <f>IF(AND(F1280&gt;0,G1280&gt;0),F1280/G1280,"")</f>
        <v/>
      </c>
    </row>
    <row r="1281">
      <c r="A1281" s="4" t="inlineStr">
        <is>
          <t>502</t>
        </is>
      </c>
      <c r="B1281" s="4" t="n">
        <v>5</v>
      </c>
      <c r="C1281" s="4" t="inlineStr">
        <is>
          <t>whitetail</t>
        </is>
      </c>
      <c r="D1281" s="4" t="n">
        <v>2024</v>
      </c>
      <c r="E1281" s="5" t="n"/>
      <c r="F1281" s="5" t="n"/>
      <c r="G1281" s="5" t="n">
        <v>337</v>
      </c>
      <c r="H1281" s="10">
        <f>IF(E1281&gt;0,G1281/E1281,"")</f>
        <v/>
      </c>
      <c r="I1281" s="11">
        <f>IF(AND(F1281&gt;0,G1281&gt;0),F1281/G1281,"")</f>
        <v/>
      </c>
    </row>
    <row r="1282">
      <c r="A1282" s="4" t="inlineStr">
        <is>
          <t>502</t>
        </is>
      </c>
      <c r="B1282" s="4" t="n">
        <v>5</v>
      </c>
      <c r="C1282" s="4" t="inlineStr">
        <is>
          <t>whitetail</t>
        </is>
      </c>
      <c r="D1282" s="4" t="n">
        <v>2025</v>
      </c>
      <c r="E1282" s="5" t="n">
        <v>1625</v>
      </c>
      <c r="F1282" s="5" t="n">
        <v>8330</v>
      </c>
      <c r="G1282" s="5" t="n">
        <v>302</v>
      </c>
      <c r="H1282" s="10">
        <f>IF(E1282&gt;0,G1282/E1282,"")</f>
        <v/>
      </c>
      <c r="I1282" s="11">
        <f>IF(AND(F1282&gt;0,G1282&gt;0),F1282/G1282,"")</f>
        <v/>
      </c>
    </row>
    <row r="1283">
      <c r="A1283" s="4" t="inlineStr">
        <is>
          <t>510</t>
        </is>
      </c>
      <c r="B1283" s="4" t="n">
        <v>5</v>
      </c>
      <c r="C1283" s="4" t="inlineStr">
        <is>
          <t>whitetail</t>
        </is>
      </c>
      <c r="D1283" s="4" t="n">
        <v>2021</v>
      </c>
      <c r="E1283" s="5" t="n">
        <v>383</v>
      </c>
      <c r="F1283" s="5" t="n">
        <v>1917</v>
      </c>
      <c r="G1283" s="5" t="n">
        <v>39</v>
      </c>
      <c r="H1283" s="10">
        <f>IF(E1283&gt;0,G1283/E1283,"")</f>
        <v/>
      </c>
      <c r="I1283" s="11">
        <f>IF(AND(F1283&gt;0,G1283&gt;0),F1283/G1283,"")</f>
        <v/>
      </c>
    </row>
    <row r="1284">
      <c r="A1284" s="4" t="inlineStr">
        <is>
          <t>511</t>
        </is>
      </c>
      <c r="B1284" s="4" t="n">
        <v>5</v>
      </c>
      <c r="C1284" s="4" t="inlineStr">
        <is>
          <t>whitetail</t>
        </is>
      </c>
      <c r="D1284" s="4" t="n">
        <v>2021</v>
      </c>
      <c r="E1284" s="5" t="n">
        <v>602</v>
      </c>
      <c r="F1284" s="5" t="n">
        <v>3070</v>
      </c>
      <c r="G1284" s="5" t="n">
        <v>123</v>
      </c>
      <c r="H1284" s="10">
        <f>IF(E1284&gt;0,G1284/E1284,"")</f>
        <v/>
      </c>
      <c r="I1284" s="11">
        <f>IF(AND(F1284&gt;0,G1284&gt;0),F1284/G1284,"")</f>
        <v/>
      </c>
    </row>
    <row r="1285">
      <c r="A1285" s="4" t="inlineStr">
        <is>
          <t>515</t>
        </is>
      </c>
      <c r="B1285" s="4" t="n">
        <v>5</v>
      </c>
      <c r="C1285" s="4" t="inlineStr">
        <is>
          <t>whitetail</t>
        </is>
      </c>
      <c r="D1285" s="4" t="n">
        <v>2022</v>
      </c>
      <c r="E1285" s="5" t="n"/>
      <c r="F1285" s="5" t="n"/>
      <c r="G1285" s="5" t="n">
        <v>356</v>
      </c>
      <c r="H1285" s="10">
        <f>IF(E1285&gt;0,G1285/E1285,"")</f>
        <v/>
      </c>
      <c r="I1285" s="11">
        <f>IF(AND(F1285&gt;0,G1285&gt;0),F1285/G1285,"")</f>
        <v/>
      </c>
    </row>
    <row r="1286">
      <c r="A1286" s="4" t="inlineStr">
        <is>
          <t>515</t>
        </is>
      </c>
      <c r="B1286" s="4" t="n">
        <v>5</v>
      </c>
      <c r="C1286" s="4" t="inlineStr">
        <is>
          <t>whitetail</t>
        </is>
      </c>
      <c r="D1286" s="4" t="n">
        <v>2023</v>
      </c>
      <c r="E1286" s="5" t="n">
        <v>2337</v>
      </c>
      <c r="F1286" s="5" t="n">
        <v>13017</v>
      </c>
      <c r="G1286" s="5" t="n">
        <v>433</v>
      </c>
      <c r="H1286" s="10">
        <f>IF(E1286&gt;0,G1286/E1286,"")</f>
        <v/>
      </c>
      <c r="I1286" s="11">
        <f>IF(AND(F1286&gt;0,G1286&gt;0),F1286/G1286,"")</f>
        <v/>
      </c>
    </row>
    <row r="1287">
      <c r="A1287" s="4" t="inlineStr">
        <is>
          <t>515</t>
        </is>
      </c>
      <c r="B1287" s="4" t="n">
        <v>5</v>
      </c>
      <c r="C1287" s="4" t="inlineStr">
        <is>
          <t>whitetail</t>
        </is>
      </c>
      <c r="D1287" s="4" t="n">
        <v>2024</v>
      </c>
      <c r="E1287" s="5" t="n"/>
      <c r="F1287" s="5" t="n"/>
      <c r="G1287" s="5" t="n">
        <v>404</v>
      </c>
      <c r="H1287" s="10">
        <f>IF(E1287&gt;0,G1287/E1287,"")</f>
        <v/>
      </c>
      <c r="I1287" s="11">
        <f>IF(AND(F1287&gt;0,G1287&gt;0),F1287/G1287,"")</f>
        <v/>
      </c>
    </row>
    <row r="1288">
      <c r="A1288" s="4" t="inlineStr">
        <is>
          <t>515</t>
        </is>
      </c>
      <c r="B1288" s="4" t="n">
        <v>5</v>
      </c>
      <c r="C1288" s="4" t="inlineStr">
        <is>
          <t>whitetail</t>
        </is>
      </c>
      <c r="D1288" s="4" t="n">
        <v>2025</v>
      </c>
      <c r="E1288" s="5" t="n">
        <v>2329</v>
      </c>
      <c r="F1288" s="5" t="n">
        <v>12505</v>
      </c>
      <c r="G1288" s="5" t="n">
        <v>416</v>
      </c>
      <c r="H1288" s="10">
        <f>IF(E1288&gt;0,G1288/E1288,"")</f>
        <v/>
      </c>
      <c r="I1288" s="11">
        <f>IF(AND(F1288&gt;0,G1288&gt;0),F1288/G1288,"")</f>
        <v/>
      </c>
    </row>
    <row r="1289">
      <c r="A1289" s="4" t="inlineStr">
        <is>
          <t>520</t>
        </is>
      </c>
      <c r="B1289" s="4" t="n">
        <v>5</v>
      </c>
      <c r="C1289" s="4" t="inlineStr">
        <is>
          <t>whitetail</t>
        </is>
      </c>
      <c r="D1289" s="4" t="n">
        <v>2021</v>
      </c>
      <c r="E1289" s="5" t="n">
        <v>1362</v>
      </c>
      <c r="F1289" s="5" t="n">
        <v>7893</v>
      </c>
      <c r="G1289" s="5" t="n">
        <v>529</v>
      </c>
      <c r="H1289" s="10">
        <f>IF(E1289&gt;0,G1289/E1289,"")</f>
        <v/>
      </c>
      <c r="I1289" s="11">
        <f>IF(AND(F1289&gt;0,G1289&gt;0),F1289/G1289,"")</f>
        <v/>
      </c>
    </row>
    <row r="1290">
      <c r="A1290" s="4" t="inlineStr">
        <is>
          <t>525</t>
        </is>
      </c>
      <c r="B1290" s="4" t="n">
        <v>5</v>
      </c>
      <c r="C1290" s="4" t="inlineStr">
        <is>
          <t>whitetail</t>
        </is>
      </c>
      <c r="D1290" s="4" t="n">
        <v>2022</v>
      </c>
      <c r="E1290" s="5" t="n"/>
      <c r="F1290" s="5" t="n"/>
      <c r="G1290" s="5" t="n">
        <v>823</v>
      </c>
      <c r="H1290" s="10">
        <f>IF(E1290&gt;0,G1290/E1290,"")</f>
        <v/>
      </c>
      <c r="I1290" s="11">
        <f>IF(AND(F1290&gt;0,G1290&gt;0),F1290/G1290,"")</f>
        <v/>
      </c>
    </row>
    <row r="1291">
      <c r="A1291" s="4" t="inlineStr">
        <is>
          <t>525</t>
        </is>
      </c>
      <c r="B1291" s="4" t="n">
        <v>5</v>
      </c>
      <c r="C1291" s="4" t="inlineStr">
        <is>
          <t>whitetail</t>
        </is>
      </c>
      <c r="D1291" s="4" t="n">
        <v>2023</v>
      </c>
      <c r="E1291" s="5" t="n">
        <v>2110</v>
      </c>
      <c r="F1291" s="5" t="n">
        <v>12779</v>
      </c>
      <c r="G1291" s="5" t="n">
        <v>643</v>
      </c>
      <c r="H1291" s="10">
        <f>IF(E1291&gt;0,G1291/E1291,"")</f>
        <v/>
      </c>
      <c r="I1291" s="11">
        <f>IF(AND(F1291&gt;0,G1291&gt;0),F1291/G1291,"")</f>
        <v/>
      </c>
    </row>
    <row r="1292">
      <c r="A1292" s="4" t="inlineStr">
        <is>
          <t>525</t>
        </is>
      </c>
      <c r="B1292" s="4" t="n">
        <v>5</v>
      </c>
      <c r="C1292" s="4" t="inlineStr">
        <is>
          <t>whitetail</t>
        </is>
      </c>
      <c r="D1292" s="4" t="n">
        <v>2024</v>
      </c>
      <c r="E1292" s="5" t="n"/>
      <c r="F1292" s="5" t="n"/>
      <c r="G1292" s="5" t="n">
        <v>801</v>
      </c>
      <c r="H1292" s="10">
        <f>IF(E1292&gt;0,G1292/E1292,"")</f>
        <v/>
      </c>
      <c r="I1292" s="11">
        <f>IF(AND(F1292&gt;0,G1292&gt;0),F1292/G1292,"")</f>
        <v/>
      </c>
    </row>
    <row r="1293">
      <c r="A1293" s="4" t="inlineStr">
        <is>
          <t>525</t>
        </is>
      </c>
      <c r="B1293" s="4" t="n">
        <v>5</v>
      </c>
      <c r="C1293" s="4" t="inlineStr">
        <is>
          <t>whitetail</t>
        </is>
      </c>
      <c r="D1293" s="4" t="n">
        <v>2025</v>
      </c>
      <c r="E1293" s="5" t="n">
        <v>2334</v>
      </c>
      <c r="F1293" s="5" t="n">
        <v>13051</v>
      </c>
      <c r="G1293" s="5" t="n">
        <v>714</v>
      </c>
      <c r="H1293" s="10">
        <f>IF(E1293&gt;0,G1293/E1293,"")</f>
        <v/>
      </c>
      <c r="I1293" s="11">
        <f>IF(AND(F1293&gt;0,G1293&gt;0),F1293/G1293,"")</f>
        <v/>
      </c>
    </row>
    <row r="1294">
      <c r="A1294" s="4" t="inlineStr">
        <is>
          <t>530</t>
        </is>
      </c>
      <c r="B1294" s="4" t="n">
        <v>5</v>
      </c>
      <c r="C1294" s="4" t="inlineStr">
        <is>
          <t>whitetail</t>
        </is>
      </c>
      <c r="D1294" s="4" t="n">
        <v>2021</v>
      </c>
      <c r="E1294" s="5" t="n">
        <v>1361</v>
      </c>
      <c r="F1294" s="5" t="n">
        <v>6875</v>
      </c>
      <c r="G1294" s="5" t="n">
        <v>307</v>
      </c>
      <c r="H1294" s="10">
        <f>IF(E1294&gt;0,G1294/E1294,"")</f>
        <v/>
      </c>
      <c r="I1294" s="11">
        <f>IF(AND(F1294&gt;0,G1294&gt;0),F1294/G1294,"")</f>
        <v/>
      </c>
    </row>
    <row r="1295">
      <c r="A1295" s="4" t="inlineStr">
        <is>
          <t>535</t>
        </is>
      </c>
      <c r="B1295" s="4" t="n">
        <v>5</v>
      </c>
      <c r="C1295" s="4" t="inlineStr">
        <is>
          <t>whitetail</t>
        </is>
      </c>
      <c r="D1295" s="4" t="n">
        <v>2022</v>
      </c>
      <c r="E1295" s="5" t="n"/>
      <c r="F1295" s="5" t="n"/>
      <c r="G1295" s="5" t="n">
        <v>310</v>
      </c>
      <c r="H1295" s="10">
        <f>IF(E1295&gt;0,G1295/E1295,"")</f>
        <v/>
      </c>
      <c r="I1295" s="11">
        <f>IF(AND(F1295&gt;0,G1295&gt;0),F1295/G1295,"")</f>
        <v/>
      </c>
    </row>
    <row r="1296">
      <c r="A1296" s="4" t="inlineStr">
        <is>
          <t>535</t>
        </is>
      </c>
      <c r="B1296" s="4" t="n">
        <v>5</v>
      </c>
      <c r="C1296" s="4" t="inlineStr">
        <is>
          <t>whitetail</t>
        </is>
      </c>
      <c r="D1296" s="4" t="n">
        <v>2023</v>
      </c>
      <c r="E1296" s="5" t="n">
        <v>1421</v>
      </c>
      <c r="F1296" s="5" t="n">
        <v>7337</v>
      </c>
      <c r="G1296" s="5" t="n">
        <v>339</v>
      </c>
      <c r="H1296" s="10">
        <f>IF(E1296&gt;0,G1296/E1296,"")</f>
        <v/>
      </c>
      <c r="I1296" s="11">
        <f>IF(AND(F1296&gt;0,G1296&gt;0),F1296/G1296,"")</f>
        <v/>
      </c>
    </row>
    <row r="1297">
      <c r="A1297" s="4" t="inlineStr">
        <is>
          <t>535</t>
        </is>
      </c>
      <c r="B1297" s="4" t="n">
        <v>5</v>
      </c>
      <c r="C1297" s="4" t="inlineStr">
        <is>
          <t>whitetail</t>
        </is>
      </c>
      <c r="D1297" s="4" t="n">
        <v>2024</v>
      </c>
      <c r="E1297" s="5" t="n"/>
      <c r="F1297" s="5" t="n"/>
      <c r="G1297" s="5" t="n">
        <v>345</v>
      </c>
      <c r="H1297" s="10">
        <f>IF(E1297&gt;0,G1297/E1297,"")</f>
        <v/>
      </c>
      <c r="I1297" s="11">
        <f>IF(AND(F1297&gt;0,G1297&gt;0),F1297/G1297,"")</f>
        <v/>
      </c>
    </row>
    <row r="1298">
      <c r="A1298" s="4" t="inlineStr">
        <is>
          <t>535</t>
        </is>
      </c>
      <c r="B1298" s="4" t="n">
        <v>5</v>
      </c>
      <c r="C1298" s="4" t="inlineStr">
        <is>
          <t>whitetail</t>
        </is>
      </c>
      <c r="D1298" s="4" t="n">
        <v>2025</v>
      </c>
      <c r="E1298" s="5" t="n">
        <v>1219</v>
      </c>
      <c r="F1298" s="5" t="n">
        <v>7321</v>
      </c>
      <c r="G1298" s="5" t="n">
        <v>260</v>
      </c>
      <c r="H1298" s="10">
        <f>IF(E1298&gt;0,G1298/E1298,"")</f>
        <v/>
      </c>
      <c r="I1298" s="11">
        <f>IF(AND(F1298&gt;0,G1298&gt;0),F1298/G1298,"")</f>
        <v/>
      </c>
    </row>
    <row r="1299">
      <c r="A1299" s="4" t="inlineStr">
        <is>
          <t>540</t>
        </is>
      </c>
      <c r="B1299" s="4" t="n">
        <v>5</v>
      </c>
      <c r="C1299" s="4" t="inlineStr">
        <is>
          <t>whitetail</t>
        </is>
      </c>
      <c r="D1299" s="4" t="n">
        <v>2021</v>
      </c>
      <c r="E1299" s="5" t="n">
        <v>826</v>
      </c>
      <c r="F1299" s="5" t="n">
        <v>4844</v>
      </c>
      <c r="G1299" s="5" t="n">
        <v>78</v>
      </c>
      <c r="H1299" s="10">
        <f>IF(E1299&gt;0,G1299/E1299,"")</f>
        <v/>
      </c>
      <c r="I1299" s="11">
        <f>IF(AND(F1299&gt;0,G1299&gt;0),F1299/G1299,"")</f>
        <v/>
      </c>
    </row>
    <row r="1300">
      <c r="A1300" s="4" t="inlineStr">
        <is>
          <t>540</t>
        </is>
      </c>
      <c r="B1300" s="4" t="n">
        <v>5</v>
      </c>
      <c r="C1300" s="4" t="inlineStr">
        <is>
          <t>whitetail</t>
        </is>
      </c>
      <c r="D1300" s="4" t="n">
        <v>2022</v>
      </c>
      <c r="E1300" s="5" t="n"/>
      <c r="F1300" s="5" t="n"/>
      <c r="G1300" s="5" t="n">
        <v>129</v>
      </c>
      <c r="H1300" s="10">
        <f>IF(E1300&gt;0,G1300/E1300,"")</f>
        <v/>
      </c>
      <c r="I1300" s="11">
        <f>IF(AND(F1300&gt;0,G1300&gt;0),F1300/G1300,"")</f>
        <v/>
      </c>
    </row>
    <row r="1301">
      <c r="A1301" s="4" t="inlineStr">
        <is>
          <t>540</t>
        </is>
      </c>
      <c r="B1301" s="4" t="n">
        <v>5</v>
      </c>
      <c r="C1301" s="4" t="inlineStr">
        <is>
          <t>whitetail</t>
        </is>
      </c>
      <c r="D1301" s="4" t="n">
        <v>2023</v>
      </c>
      <c r="E1301" s="5" t="n">
        <v>739</v>
      </c>
      <c r="F1301" s="5" t="n">
        <v>4201</v>
      </c>
      <c r="G1301" s="5" t="n">
        <v>128</v>
      </c>
      <c r="H1301" s="10">
        <f>IF(E1301&gt;0,G1301/E1301,"")</f>
        <v/>
      </c>
      <c r="I1301" s="11">
        <f>IF(AND(F1301&gt;0,G1301&gt;0),F1301/G1301,"")</f>
        <v/>
      </c>
    </row>
    <row r="1302">
      <c r="A1302" s="4" t="inlineStr">
        <is>
          <t>540</t>
        </is>
      </c>
      <c r="B1302" s="4" t="n">
        <v>5</v>
      </c>
      <c r="C1302" s="4" t="inlineStr">
        <is>
          <t>whitetail</t>
        </is>
      </c>
      <c r="D1302" s="4" t="n">
        <v>2024</v>
      </c>
      <c r="E1302" s="5" t="n"/>
      <c r="F1302" s="5" t="n"/>
      <c r="G1302" s="5" t="n">
        <v>166</v>
      </c>
      <c r="H1302" s="10">
        <f>IF(E1302&gt;0,G1302/E1302,"")</f>
        <v/>
      </c>
      <c r="I1302" s="11">
        <f>IF(AND(F1302&gt;0,G1302&gt;0),F1302/G1302,"")</f>
        <v/>
      </c>
    </row>
    <row r="1303">
      <c r="A1303" s="4" t="inlineStr">
        <is>
          <t>540</t>
        </is>
      </c>
      <c r="B1303" s="4" t="n">
        <v>5</v>
      </c>
      <c r="C1303" s="4" t="inlineStr">
        <is>
          <t>whitetail</t>
        </is>
      </c>
      <c r="D1303" s="4" t="n">
        <v>2025</v>
      </c>
      <c r="E1303" s="5" t="n">
        <v>859</v>
      </c>
      <c r="F1303" s="5" t="n">
        <v>5251</v>
      </c>
      <c r="G1303" s="5" t="n">
        <v>158</v>
      </c>
      <c r="H1303" s="10">
        <f>IF(E1303&gt;0,G1303/E1303,"")</f>
        <v/>
      </c>
      <c r="I1303" s="11">
        <f>IF(AND(F1303&gt;0,G1303&gt;0),F1303/G1303,"")</f>
        <v/>
      </c>
    </row>
    <row r="1304">
      <c r="A1304" s="4" t="inlineStr">
        <is>
          <t>555</t>
        </is>
      </c>
      <c r="B1304" s="4" t="n">
        <v>5</v>
      </c>
      <c r="C1304" s="4" t="inlineStr">
        <is>
          <t>whitetail</t>
        </is>
      </c>
      <c r="D1304" s="4" t="n">
        <v>2022</v>
      </c>
      <c r="E1304" s="5" t="n"/>
      <c r="F1304" s="5" t="n"/>
      <c r="G1304" s="5" t="n">
        <v>80</v>
      </c>
      <c r="H1304" s="10">
        <f>IF(E1304&gt;0,G1304/E1304,"")</f>
        <v/>
      </c>
      <c r="I1304" s="11">
        <f>IF(AND(F1304&gt;0,G1304&gt;0),F1304/G1304,"")</f>
        <v/>
      </c>
    </row>
    <row r="1305">
      <c r="A1305" s="4" t="inlineStr">
        <is>
          <t>555</t>
        </is>
      </c>
      <c r="B1305" s="4" t="n">
        <v>5</v>
      </c>
      <c r="C1305" s="4" t="inlineStr">
        <is>
          <t>whitetail</t>
        </is>
      </c>
      <c r="D1305" s="4" t="n">
        <v>2023</v>
      </c>
      <c r="E1305" s="5" t="n">
        <v>443</v>
      </c>
      <c r="F1305" s="5" t="n">
        <v>2480</v>
      </c>
      <c r="G1305" s="5" t="n">
        <v>64</v>
      </c>
      <c r="H1305" s="10">
        <f>IF(E1305&gt;0,G1305/E1305,"")</f>
        <v/>
      </c>
      <c r="I1305" s="11">
        <f>IF(AND(F1305&gt;0,G1305&gt;0),F1305/G1305,"")</f>
        <v/>
      </c>
    </row>
    <row r="1306">
      <c r="A1306" s="4" t="inlineStr">
        <is>
          <t>555</t>
        </is>
      </c>
      <c r="B1306" s="4" t="n">
        <v>5</v>
      </c>
      <c r="C1306" s="4" t="inlineStr">
        <is>
          <t>whitetail</t>
        </is>
      </c>
      <c r="D1306" s="4" t="n">
        <v>2024</v>
      </c>
      <c r="E1306" s="5" t="n"/>
      <c r="F1306" s="5" t="n"/>
      <c r="G1306" s="5" t="n">
        <v>55</v>
      </c>
      <c r="H1306" s="10">
        <f>IF(E1306&gt;0,G1306/E1306,"")</f>
        <v/>
      </c>
      <c r="I1306" s="11">
        <f>IF(AND(F1306&gt;0,G1306&gt;0),F1306/G1306,"")</f>
        <v/>
      </c>
    </row>
    <row r="1307">
      <c r="A1307" s="4" t="inlineStr">
        <is>
          <t>555</t>
        </is>
      </c>
      <c r="B1307" s="4" t="n">
        <v>5</v>
      </c>
      <c r="C1307" s="4" t="inlineStr">
        <is>
          <t>whitetail</t>
        </is>
      </c>
      <c r="D1307" s="4" t="n">
        <v>2025</v>
      </c>
      <c r="E1307" s="5" t="n">
        <v>578</v>
      </c>
      <c r="F1307" s="5" t="n">
        <v>3339</v>
      </c>
      <c r="G1307" s="5" t="n">
        <v>86</v>
      </c>
      <c r="H1307" s="10">
        <f>IF(E1307&gt;0,G1307/E1307,"")</f>
        <v/>
      </c>
      <c r="I1307" s="11">
        <f>IF(AND(F1307&gt;0,G1307&gt;0),F1307/G1307,"")</f>
        <v/>
      </c>
    </row>
    <row r="1308">
      <c r="A1308" s="4" t="inlineStr">
        <is>
          <t>560</t>
        </is>
      </c>
      <c r="B1308" s="4" t="n">
        <v>5</v>
      </c>
      <c r="C1308" s="4" t="inlineStr">
        <is>
          <t>whitetail</t>
        </is>
      </c>
      <c r="D1308" s="4" t="n">
        <v>2021</v>
      </c>
      <c r="E1308" s="5" t="n">
        <v>1203</v>
      </c>
      <c r="F1308" s="5" t="n">
        <v>6185</v>
      </c>
      <c r="G1308" s="5" t="n">
        <v>405</v>
      </c>
      <c r="H1308" s="10">
        <f>IF(E1308&gt;0,G1308/E1308,"")</f>
        <v/>
      </c>
      <c r="I1308" s="11">
        <f>IF(AND(F1308&gt;0,G1308&gt;0),F1308/G1308,"")</f>
        <v/>
      </c>
    </row>
    <row r="1309">
      <c r="A1309" s="4" t="inlineStr">
        <is>
          <t>565</t>
        </is>
      </c>
      <c r="B1309" s="4" t="n">
        <v>5</v>
      </c>
      <c r="C1309" s="4" t="inlineStr">
        <is>
          <t>whitetail</t>
        </is>
      </c>
      <c r="D1309" s="4" t="n">
        <v>2022</v>
      </c>
      <c r="E1309" s="5" t="n"/>
      <c r="F1309" s="5" t="n"/>
      <c r="G1309" s="5" t="n">
        <v>36</v>
      </c>
      <c r="H1309" s="10">
        <f>IF(E1309&gt;0,G1309/E1309,"")</f>
        <v/>
      </c>
      <c r="I1309" s="11">
        <f>IF(AND(F1309&gt;0,G1309&gt;0),F1309/G1309,"")</f>
        <v/>
      </c>
    </row>
    <row r="1310">
      <c r="A1310" s="4" t="inlineStr">
        <is>
          <t>565</t>
        </is>
      </c>
      <c r="B1310" s="4" t="n">
        <v>5</v>
      </c>
      <c r="C1310" s="4" t="inlineStr">
        <is>
          <t>whitetail</t>
        </is>
      </c>
      <c r="D1310" s="4" t="n">
        <v>2023</v>
      </c>
      <c r="E1310" s="5" t="n">
        <v>86</v>
      </c>
      <c r="F1310" s="5" t="n">
        <v>510</v>
      </c>
      <c r="G1310" s="5" t="n">
        <v>25</v>
      </c>
      <c r="H1310" s="10">
        <f>IF(E1310&gt;0,G1310/E1310,"")</f>
        <v/>
      </c>
      <c r="I1310" s="11">
        <f>IF(AND(F1310&gt;0,G1310&gt;0),F1310/G1310,"")</f>
        <v/>
      </c>
    </row>
    <row r="1311">
      <c r="A1311" s="4" t="inlineStr">
        <is>
          <t>565</t>
        </is>
      </c>
      <c r="B1311" s="4" t="n">
        <v>5</v>
      </c>
      <c r="C1311" s="4" t="inlineStr">
        <is>
          <t>whitetail</t>
        </is>
      </c>
      <c r="D1311" s="4" t="n">
        <v>2024</v>
      </c>
      <c r="E1311" s="5" t="n"/>
      <c r="F1311" s="5" t="n"/>
      <c r="G1311" s="5" t="n">
        <v>29</v>
      </c>
      <c r="H1311" s="10">
        <f>IF(E1311&gt;0,G1311/E1311,"")</f>
        <v/>
      </c>
      <c r="I1311" s="11">
        <f>IF(AND(F1311&gt;0,G1311&gt;0),F1311/G1311,"")</f>
        <v/>
      </c>
    </row>
    <row r="1312">
      <c r="A1312" s="4" t="inlineStr">
        <is>
          <t>565</t>
        </is>
      </c>
      <c r="B1312" s="4" t="n">
        <v>5</v>
      </c>
      <c r="C1312" s="4" t="inlineStr">
        <is>
          <t>whitetail</t>
        </is>
      </c>
      <c r="D1312" s="4" t="n">
        <v>2025</v>
      </c>
      <c r="E1312" s="5" t="n">
        <v>108</v>
      </c>
      <c r="F1312" s="5" t="n">
        <v>704</v>
      </c>
      <c r="G1312" s="5" t="n">
        <v>27</v>
      </c>
      <c r="H1312" s="10">
        <f>IF(E1312&gt;0,G1312/E1312,"")</f>
        <v/>
      </c>
      <c r="I1312" s="11">
        <f>IF(AND(F1312&gt;0,G1312&gt;0),F1312/G1312,"")</f>
        <v/>
      </c>
    </row>
    <row r="1313">
      <c r="A1313" s="4" t="inlineStr">
        <is>
          <t>570</t>
        </is>
      </c>
      <c r="B1313" s="4" t="n">
        <v>5</v>
      </c>
      <c r="C1313" s="4" t="inlineStr">
        <is>
          <t>whitetail</t>
        </is>
      </c>
      <c r="D1313" s="4" t="n">
        <v>2021</v>
      </c>
      <c r="E1313" s="5" t="n">
        <v>1206</v>
      </c>
      <c r="F1313" s="5" t="n">
        <v>5896</v>
      </c>
      <c r="G1313" s="5" t="n">
        <v>326</v>
      </c>
      <c r="H1313" s="10">
        <f>IF(E1313&gt;0,G1313/E1313,"")</f>
        <v/>
      </c>
      <c r="I1313" s="11">
        <f>IF(AND(F1313&gt;0,G1313&gt;0),F1313/G1313,"")</f>
        <v/>
      </c>
    </row>
    <row r="1314">
      <c r="A1314" s="4" t="inlineStr">
        <is>
          <t>575</t>
        </is>
      </c>
      <c r="B1314" s="4" t="n">
        <v>5</v>
      </c>
      <c r="C1314" s="4" t="inlineStr">
        <is>
          <t>whitetail</t>
        </is>
      </c>
      <c r="D1314" s="4" t="n">
        <v>2021</v>
      </c>
      <c r="E1314" s="5" t="n">
        <v>1731</v>
      </c>
      <c r="F1314" s="5" t="n">
        <v>9393</v>
      </c>
      <c r="G1314" s="5" t="n">
        <v>541</v>
      </c>
      <c r="H1314" s="10">
        <f>IF(E1314&gt;0,G1314/E1314,"")</f>
        <v/>
      </c>
      <c r="I1314" s="11">
        <f>IF(AND(F1314&gt;0,G1314&gt;0),F1314/G1314,"")</f>
        <v/>
      </c>
    </row>
    <row r="1315">
      <c r="A1315" s="4" t="inlineStr">
        <is>
          <t>575</t>
        </is>
      </c>
      <c r="B1315" s="4" t="n">
        <v>5</v>
      </c>
      <c r="C1315" s="4" t="inlineStr">
        <is>
          <t>whitetail</t>
        </is>
      </c>
      <c r="D1315" s="4" t="n">
        <v>2022</v>
      </c>
      <c r="E1315" s="5" t="n"/>
      <c r="F1315" s="5" t="n"/>
      <c r="G1315" s="5" t="n">
        <v>612</v>
      </c>
      <c r="H1315" s="10">
        <f>IF(E1315&gt;0,G1315/E1315,"")</f>
        <v/>
      </c>
      <c r="I1315" s="11">
        <f>IF(AND(F1315&gt;0,G1315&gt;0),F1315/G1315,"")</f>
        <v/>
      </c>
    </row>
    <row r="1316">
      <c r="A1316" s="4" t="inlineStr">
        <is>
          <t>575</t>
        </is>
      </c>
      <c r="B1316" s="4" t="n">
        <v>5</v>
      </c>
      <c r="C1316" s="4" t="inlineStr">
        <is>
          <t>whitetail</t>
        </is>
      </c>
      <c r="D1316" s="4" t="n">
        <v>2023</v>
      </c>
      <c r="E1316" s="5" t="n">
        <v>1970</v>
      </c>
      <c r="F1316" s="5" t="n">
        <v>11695</v>
      </c>
      <c r="G1316" s="5" t="n">
        <v>572</v>
      </c>
      <c r="H1316" s="10">
        <f>IF(E1316&gt;0,G1316/E1316,"")</f>
        <v/>
      </c>
      <c r="I1316" s="11">
        <f>IF(AND(F1316&gt;0,G1316&gt;0),F1316/G1316,"")</f>
        <v/>
      </c>
    </row>
    <row r="1317">
      <c r="A1317" s="4" t="inlineStr">
        <is>
          <t>575</t>
        </is>
      </c>
      <c r="B1317" s="4" t="n">
        <v>5</v>
      </c>
      <c r="C1317" s="4" t="inlineStr">
        <is>
          <t>whitetail</t>
        </is>
      </c>
      <c r="D1317" s="4" t="n">
        <v>2024</v>
      </c>
      <c r="E1317" s="5" t="n"/>
      <c r="F1317" s="5" t="n"/>
      <c r="G1317" s="5" t="n">
        <v>742</v>
      </c>
      <c r="H1317" s="10">
        <f>IF(E1317&gt;0,G1317/E1317,"")</f>
        <v/>
      </c>
      <c r="I1317" s="11">
        <f>IF(AND(F1317&gt;0,G1317&gt;0),F1317/G1317,"")</f>
        <v/>
      </c>
    </row>
    <row r="1318">
      <c r="A1318" s="4" t="inlineStr">
        <is>
          <t>575</t>
        </is>
      </c>
      <c r="B1318" s="4" t="n">
        <v>5</v>
      </c>
      <c r="C1318" s="4" t="inlineStr">
        <is>
          <t>whitetail</t>
        </is>
      </c>
      <c r="D1318" s="4" t="n">
        <v>2025</v>
      </c>
      <c r="E1318" s="5" t="n">
        <v>2007</v>
      </c>
      <c r="F1318" s="5" t="n">
        <v>11128</v>
      </c>
      <c r="G1318" s="5" t="n">
        <v>536</v>
      </c>
      <c r="H1318" s="10">
        <f>IF(E1318&gt;0,G1318/E1318,"")</f>
        <v/>
      </c>
      <c r="I1318" s="11">
        <f>IF(AND(F1318&gt;0,G1318&gt;0),F1318/G1318,"")</f>
        <v/>
      </c>
    </row>
    <row r="1319">
      <c r="A1319" s="4" t="inlineStr">
        <is>
          <t>580</t>
        </is>
      </c>
      <c r="B1319" s="4" t="n">
        <v>5</v>
      </c>
      <c r="C1319" s="4" t="inlineStr">
        <is>
          <t>whitetail</t>
        </is>
      </c>
      <c r="D1319" s="4" t="n">
        <v>2021</v>
      </c>
      <c r="E1319" s="5" t="n">
        <v>1137</v>
      </c>
      <c r="F1319" s="5" t="n">
        <v>5129</v>
      </c>
      <c r="G1319" s="5" t="n">
        <v>469</v>
      </c>
      <c r="H1319" s="10">
        <f>IF(E1319&gt;0,G1319/E1319,"")</f>
        <v/>
      </c>
      <c r="I1319" s="11">
        <f>IF(AND(F1319&gt;0,G1319&gt;0),F1319/G1319,"")</f>
        <v/>
      </c>
    </row>
    <row r="1320">
      <c r="A1320" s="4" t="inlineStr">
        <is>
          <t>580</t>
        </is>
      </c>
      <c r="B1320" s="4" t="n">
        <v>5</v>
      </c>
      <c r="C1320" s="4" t="inlineStr">
        <is>
          <t>whitetail</t>
        </is>
      </c>
      <c r="D1320" s="4" t="n">
        <v>2022</v>
      </c>
      <c r="E1320" s="5" t="n"/>
      <c r="F1320" s="5" t="n"/>
      <c r="G1320" s="5" t="n">
        <v>515</v>
      </c>
      <c r="H1320" s="10">
        <f>IF(E1320&gt;0,G1320/E1320,"")</f>
        <v/>
      </c>
      <c r="I1320" s="11">
        <f>IF(AND(F1320&gt;0,G1320&gt;0),F1320/G1320,"")</f>
        <v/>
      </c>
    </row>
    <row r="1321">
      <c r="A1321" s="4" t="inlineStr">
        <is>
          <t>580</t>
        </is>
      </c>
      <c r="B1321" s="4" t="n">
        <v>5</v>
      </c>
      <c r="C1321" s="4" t="inlineStr">
        <is>
          <t>whitetail</t>
        </is>
      </c>
      <c r="D1321" s="4" t="n">
        <v>2023</v>
      </c>
      <c r="E1321" s="5" t="n">
        <v>1145</v>
      </c>
      <c r="F1321" s="5" t="n">
        <v>5774</v>
      </c>
      <c r="G1321" s="5" t="n">
        <v>613</v>
      </c>
      <c r="H1321" s="10">
        <f>IF(E1321&gt;0,G1321/E1321,"")</f>
        <v/>
      </c>
      <c r="I1321" s="11">
        <f>IF(AND(F1321&gt;0,G1321&gt;0),F1321/G1321,"")</f>
        <v/>
      </c>
    </row>
    <row r="1322">
      <c r="A1322" s="4" t="inlineStr">
        <is>
          <t>580</t>
        </is>
      </c>
      <c r="B1322" s="4" t="n">
        <v>5</v>
      </c>
      <c r="C1322" s="4" t="inlineStr">
        <is>
          <t>whitetail</t>
        </is>
      </c>
      <c r="D1322" s="4" t="n">
        <v>2024</v>
      </c>
      <c r="E1322" s="5" t="n"/>
      <c r="F1322" s="5" t="n"/>
      <c r="G1322" s="5" t="n">
        <v>588</v>
      </c>
      <c r="H1322" s="10">
        <f>IF(E1322&gt;0,G1322/E1322,"")</f>
        <v/>
      </c>
      <c r="I1322" s="11">
        <f>IF(AND(F1322&gt;0,G1322&gt;0),F1322/G1322,"")</f>
        <v/>
      </c>
    </row>
    <row r="1323">
      <c r="A1323" s="4" t="inlineStr">
        <is>
          <t>580</t>
        </is>
      </c>
      <c r="B1323" s="4" t="n">
        <v>5</v>
      </c>
      <c r="C1323" s="4" t="inlineStr">
        <is>
          <t>whitetail</t>
        </is>
      </c>
      <c r="D1323" s="4" t="n">
        <v>2025</v>
      </c>
      <c r="E1323" s="5" t="n">
        <v>1399</v>
      </c>
      <c r="F1323" s="5" t="n">
        <v>7790</v>
      </c>
      <c r="G1323" s="5" t="n">
        <v>496</v>
      </c>
      <c r="H1323" s="10">
        <f>IF(E1323&gt;0,G1323/E1323,"")</f>
        <v/>
      </c>
      <c r="I1323" s="11">
        <f>IF(AND(F1323&gt;0,G1323&gt;0),F1323/G1323,"")</f>
        <v/>
      </c>
    </row>
    <row r="1324">
      <c r="A1324" s="4" t="inlineStr">
        <is>
          <t>590</t>
        </is>
      </c>
      <c r="B1324" s="4" t="n">
        <v>5</v>
      </c>
      <c r="C1324" s="4" t="inlineStr">
        <is>
          <t>whitetail</t>
        </is>
      </c>
      <c r="D1324" s="4" t="n">
        <v>2021</v>
      </c>
      <c r="E1324" s="5" t="n">
        <v>3920</v>
      </c>
      <c r="F1324" s="5" t="n">
        <v>24128</v>
      </c>
      <c r="G1324" s="5" t="n">
        <v>894</v>
      </c>
      <c r="H1324" s="10">
        <f>IF(E1324&gt;0,G1324/E1324,"")</f>
        <v/>
      </c>
      <c r="I1324" s="11">
        <f>IF(AND(F1324&gt;0,G1324&gt;0),F1324/G1324,"")</f>
        <v/>
      </c>
    </row>
    <row r="1325">
      <c r="A1325" s="4" t="inlineStr">
        <is>
          <t>590</t>
        </is>
      </c>
      <c r="B1325" s="4" t="n">
        <v>5</v>
      </c>
      <c r="C1325" s="4" t="inlineStr">
        <is>
          <t>whitetail</t>
        </is>
      </c>
      <c r="D1325" s="4" t="n">
        <v>2022</v>
      </c>
      <c r="E1325" s="5" t="n"/>
      <c r="F1325" s="5" t="n"/>
      <c r="G1325" s="5" t="n">
        <v>1004</v>
      </c>
      <c r="H1325" s="10">
        <f>IF(E1325&gt;0,G1325/E1325,"")</f>
        <v/>
      </c>
      <c r="I1325" s="11">
        <f>IF(AND(F1325&gt;0,G1325&gt;0),F1325/G1325,"")</f>
        <v/>
      </c>
    </row>
    <row r="1326">
      <c r="A1326" s="4" t="inlineStr">
        <is>
          <t>590</t>
        </is>
      </c>
      <c r="B1326" s="4" t="n">
        <v>5</v>
      </c>
      <c r="C1326" s="4" t="inlineStr">
        <is>
          <t>whitetail</t>
        </is>
      </c>
      <c r="D1326" s="4" t="n">
        <v>2023</v>
      </c>
      <c r="E1326" s="5" t="n">
        <v>3941</v>
      </c>
      <c r="F1326" s="5" t="n">
        <v>23209</v>
      </c>
      <c r="G1326" s="5" t="n">
        <v>836</v>
      </c>
      <c r="H1326" s="10">
        <f>IF(E1326&gt;0,G1326/E1326,"")</f>
        <v/>
      </c>
      <c r="I1326" s="11">
        <f>IF(AND(F1326&gt;0,G1326&gt;0),F1326/G1326,"")</f>
        <v/>
      </c>
    </row>
    <row r="1327">
      <c r="A1327" s="4" t="inlineStr">
        <is>
          <t>590</t>
        </is>
      </c>
      <c r="B1327" s="4" t="n">
        <v>5</v>
      </c>
      <c r="C1327" s="4" t="inlineStr">
        <is>
          <t>whitetail</t>
        </is>
      </c>
      <c r="D1327" s="4" t="n">
        <v>2024</v>
      </c>
      <c r="E1327" s="5" t="n"/>
      <c r="F1327" s="5" t="n"/>
      <c r="G1327" s="5" t="n">
        <v>884</v>
      </c>
      <c r="H1327" s="10">
        <f>IF(E1327&gt;0,G1327/E1327,"")</f>
        <v/>
      </c>
      <c r="I1327" s="11">
        <f>IF(AND(F1327&gt;0,G1327&gt;0),F1327/G1327,"")</f>
        <v/>
      </c>
    </row>
    <row r="1328">
      <c r="A1328" s="4" t="inlineStr">
        <is>
          <t>590</t>
        </is>
      </c>
      <c r="B1328" s="4" t="n">
        <v>5</v>
      </c>
      <c r="C1328" s="4" t="inlineStr">
        <is>
          <t>whitetail</t>
        </is>
      </c>
      <c r="D1328" s="4" t="n">
        <v>2025</v>
      </c>
      <c r="E1328" s="5" t="n">
        <v>3919</v>
      </c>
      <c r="F1328" s="5" t="n">
        <v>24766</v>
      </c>
      <c r="G1328" s="5" t="n">
        <v>731</v>
      </c>
      <c r="H1328" s="10">
        <f>IF(E1328&gt;0,G1328/E1328,"")</f>
        <v/>
      </c>
      <c r="I1328" s="11">
        <f>IF(AND(F1328&gt;0,G1328&gt;0),F1328/G1328,"")</f>
        <v/>
      </c>
    </row>
    <row r="1329">
      <c r="A1329" s="4" t="inlineStr">
        <is>
          <t>600</t>
        </is>
      </c>
      <c r="B1329" s="4" t="n">
        <v>6</v>
      </c>
      <c r="C1329" s="4" t="inlineStr">
        <is>
          <t>whitetail</t>
        </is>
      </c>
      <c r="D1329" s="4" t="n">
        <v>2021</v>
      </c>
      <c r="E1329" s="5" t="n">
        <v>2272</v>
      </c>
      <c r="F1329" s="5" t="n">
        <v>12924</v>
      </c>
      <c r="G1329" s="5" t="n">
        <v>532</v>
      </c>
      <c r="H1329" s="10">
        <f>IF(E1329&gt;0,G1329/E1329,"")</f>
        <v/>
      </c>
      <c r="I1329" s="11">
        <f>IF(AND(F1329&gt;0,G1329&gt;0),F1329/G1329,"")</f>
        <v/>
      </c>
    </row>
    <row r="1330">
      <c r="A1330" s="4" t="inlineStr">
        <is>
          <t>600</t>
        </is>
      </c>
      <c r="B1330" s="4" t="n">
        <v>6</v>
      </c>
      <c r="C1330" s="4" t="inlineStr">
        <is>
          <t>whitetail</t>
        </is>
      </c>
      <c r="D1330" s="4" t="n">
        <v>2022</v>
      </c>
      <c r="E1330" s="5" t="n"/>
      <c r="F1330" s="5" t="n"/>
      <c r="G1330" s="5" t="n">
        <v>580</v>
      </c>
      <c r="H1330" s="10">
        <f>IF(E1330&gt;0,G1330/E1330,"")</f>
        <v/>
      </c>
      <c r="I1330" s="11">
        <f>IF(AND(F1330&gt;0,G1330&gt;0),F1330/G1330,"")</f>
        <v/>
      </c>
    </row>
    <row r="1331">
      <c r="A1331" s="4" t="inlineStr">
        <is>
          <t>600</t>
        </is>
      </c>
      <c r="B1331" s="4" t="n">
        <v>6</v>
      </c>
      <c r="C1331" s="4" t="inlineStr">
        <is>
          <t>whitetail</t>
        </is>
      </c>
      <c r="D1331" s="4" t="n">
        <v>2023</v>
      </c>
      <c r="E1331" s="5" t="n">
        <v>2398</v>
      </c>
      <c r="F1331" s="5" t="n">
        <v>14035</v>
      </c>
      <c r="G1331" s="5" t="n">
        <v>530</v>
      </c>
      <c r="H1331" s="10">
        <f>IF(E1331&gt;0,G1331/E1331,"")</f>
        <v/>
      </c>
      <c r="I1331" s="11">
        <f>IF(AND(F1331&gt;0,G1331&gt;0),F1331/G1331,"")</f>
        <v/>
      </c>
    </row>
    <row r="1332">
      <c r="A1332" s="4" t="inlineStr">
        <is>
          <t>600</t>
        </is>
      </c>
      <c r="B1332" s="4" t="n">
        <v>6</v>
      </c>
      <c r="C1332" s="4" t="inlineStr">
        <is>
          <t>whitetail</t>
        </is>
      </c>
      <c r="D1332" s="4" t="n">
        <v>2024</v>
      </c>
      <c r="E1332" s="5" t="n"/>
      <c r="F1332" s="5" t="n"/>
      <c r="G1332" s="5" t="n">
        <v>531</v>
      </c>
      <c r="H1332" s="10">
        <f>IF(E1332&gt;0,G1332/E1332,"")</f>
        <v/>
      </c>
      <c r="I1332" s="11">
        <f>IF(AND(F1332&gt;0,G1332&gt;0),F1332/G1332,"")</f>
        <v/>
      </c>
    </row>
    <row r="1333">
      <c r="A1333" s="4" t="inlineStr">
        <is>
          <t>600</t>
        </is>
      </c>
      <c r="B1333" s="4" t="n">
        <v>6</v>
      </c>
      <c r="C1333" s="4" t="inlineStr">
        <is>
          <t>whitetail</t>
        </is>
      </c>
      <c r="D1333" s="4" t="n">
        <v>2025</v>
      </c>
      <c r="E1333" s="5" t="n">
        <v>1998</v>
      </c>
      <c r="F1333" s="5" t="n">
        <v>10849</v>
      </c>
      <c r="G1333" s="5" t="n">
        <v>272</v>
      </c>
      <c r="H1333" s="10">
        <f>IF(E1333&gt;0,G1333/E1333,"")</f>
        <v/>
      </c>
      <c r="I1333" s="11">
        <f>IF(AND(F1333&gt;0,G1333&gt;0),F1333/G1333,"")</f>
        <v/>
      </c>
    </row>
    <row r="1334">
      <c r="A1334" s="4" t="inlineStr">
        <is>
          <t>620</t>
        </is>
      </c>
      <c r="B1334" s="4" t="n">
        <v>6</v>
      </c>
      <c r="C1334" s="4" t="inlineStr">
        <is>
          <t>whitetail</t>
        </is>
      </c>
      <c r="D1334" s="4" t="n">
        <v>2021</v>
      </c>
      <c r="E1334" s="5" t="n">
        <v>1760</v>
      </c>
      <c r="F1334" s="5" t="n">
        <v>9970</v>
      </c>
      <c r="G1334" s="5" t="n">
        <v>144</v>
      </c>
      <c r="H1334" s="10">
        <f>IF(E1334&gt;0,G1334/E1334,"")</f>
        <v/>
      </c>
      <c r="I1334" s="11">
        <f>IF(AND(F1334&gt;0,G1334&gt;0),F1334/G1334,"")</f>
        <v/>
      </c>
    </row>
    <row r="1335">
      <c r="A1335" s="4" t="inlineStr">
        <is>
          <t>620</t>
        </is>
      </c>
      <c r="B1335" s="4" t="n">
        <v>6</v>
      </c>
      <c r="C1335" s="4" t="inlineStr">
        <is>
          <t>whitetail</t>
        </is>
      </c>
      <c r="D1335" s="4" t="n">
        <v>2022</v>
      </c>
      <c r="E1335" s="5" t="n"/>
      <c r="F1335" s="5" t="n"/>
      <c r="G1335" s="5" t="n">
        <v>192</v>
      </c>
      <c r="H1335" s="10">
        <f>IF(E1335&gt;0,G1335/E1335,"")</f>
        <v/>
      </c>
      <c r="I1335" s="11">
        <f>IF(AND(F1335&gt;0,G1335&gt;0),F1335/G1335,"")</f>
        <v/>
      </c>
    </row>
    <row r="1336">
      <c r="A1336" s="4" t="inlineStr">
        <is>
          <t>620</t>
        </is>
      </c>
      <c r="B1336" s="4" t="n">
        <v>6</v>
      </c>
      <c r="C1336" s="4" t="inlineStr">
        <is>
          <t>whitetail</t>
        </is>
      </c>
      <c r="D1336" s="4" t="n">
        <v>2023</v>
      </c>
      <c r="E1336" s="5" t="n">
        <v>1326</v>
      </c>
      <c r="F1336" s="5" t="n">
        <v>7199</v>
      </c>
      <c r="G1336" s="5" t="n">
        <v>166</v>
      </c>
      <c r="H1336" s="10">
        <f>IF(E1336&gt;0,G1336/E1336,"")</f>
        <v/>
      </c>
      <c r="I1336" s="11">
        <f>IF(AND(F1336&gt;0,G1336&gt;0),F1336/G1336,"")</f>
        <v/>
      </c>
    </row>
    <row r="1337">
      <c r="A1337" s="4" t="inlineStr">
        <is>
          <t>620</t>
        </is>
      </c>
      <c r="B1337" s="4" t="n">
        <v>6</v>
      </c>
      <c r="C1337" s="4" t="inlineStr">
        <is>
          <t>whitetail</t>
        </is>
      </c>
      <c r="D1337" s="4" t="n">
        <v>2024</v>
      </c>
      <c r="E1337" s="5" t="n"/>
      <c r="F1337" s="5" t="n"/>
      <c r="G1337" s="5" t="n">
        <v>214</v>
      </c>
      <c r="H1337" s="10">
        <f>IF(E1337&gt;0,G1337/E1337,"")</f>
        <v/>
      </c>
      <c r="I1337" s="11">
        <f>IF(AND(F1337&gt;0,G1337&gt;0),F1337/G1337,"")</f>
        <v/>
      </c>
    </row>
    <row r="1338">
      <c r="A1338" s="4" t="inlineStr">
        <is>
          <t>620</t>
        </is>
      </c>
      <c r="B1338" s="4" t="n">
        <v>6</v>
      </c>
      <c r="C1338" s="4" t="inlineStr">
        <is>
          <t>whitetail</t>
        </is>
      </c>
      <c r="D1338" s="4" t="n">
        <v>2025</v>
      </c>
      <c r="E1338" s="5" t="n">
        <v>1199</v>
      </c>
      <c r="F1338" s="5" t="n">
        <v>6966</v>
      </c>
      <c r="G1338" s="5" t="n">
        <v>46</v>
      </c>
      <c r="H1338" s="10">
        <f>IF(E1338&gt;0,G1338/E1338,"")</f>
        <v/>
      </c>
      <c r="I1338" s="11">
        <f>IF(AND(F1338&gt;0,G1338&gt;0),F1338/G1338,"")</f>
        <v/>
      </c>
    </row>
    <row r="1339">
      <c r="A1339" s="4" t="inlineStr">
        <is>
          <t>621</t>
        </is>
      </c>
      <c r="B1339" s="4" t="n">
        <v>6</v>
      </c>
      <c r="C1339" s="4" t="inlineStr">
        <is>
          <t>whitetail</t>
        </is>
      </c>
      <c r="D1339" s="4" t="n">
        <v>2021</v>
      </c>
      <c r="E1339" s="5" t="n">
        <v>1035</v>
      </c>
      <c r="F1339" s="5" t="n">
        <v>5980</v>
      </c>
      <c r="G1339" s="5" t="n">
        <v>67</v>
      </c>
      <c r="H1339" s="10">
        <f>IF(E1339&gt;0,G1339/E1339,"")</f>
        <v/>
      </c>
      <c r="I1339" s="11">
        <f>IF(AND(F1339&gt;0,G1339&gt;0),F1339/G1339,"")</f>
        <v/>
      </c>
    </row>
    <row r="1340">
      <c r="A1340" s="4" t="inlineStr">
        <is>
          <t>621</t>
        </is>
      </c>
      <c r="B1340" s="4" t="n">
        <v>6</v>
      </c>
      <c r="C1340" s="4" t="inlineStr">
        <is>
          <t>whitetail</t>
        </is>
      </c>
      <c r="D1340" s="4" t="n">
        <v>2022</v>
      </c>
      <c r="E1340" s="5" t="n"/>
      <c r="F1340" s="5" t="n"/>
      <c r="G1340" s="5" t="n">
        <v>55</v>
      </c>
      <c r="H1340" s="10">
        <f>IF(E1340&gt;0,G1340/E1340,"")</f>
        <v/>
      </c>
      <c r="I1340" s="11">
        <f>IF(AND(F1340&gt;0,G1340&gt;0),F1340/G1340,"")</f>
        <v/>
      </c>
    </row>
    <row r="1341">
      <c r="A1341" s="4" t="inlineStr">
        <is>
          <t>621</t>
        </is>
      </c>
      <c r="B1341" s="4" t="n">
        <v>6</v>
      </c>
      <c r="C1341" s="4" t="inlineStr">
        <is>
          <t>whitetail</t>
        </is>
      </c>
      <c r="D1341" s="4" t="n">
        <v>2023</v>
      </c>
      <c r="E1341" s="5" t="n">
        <v>824</v>
      </c>
      <c r="F1341" s="5" t="n">
        <v>4743</v>
      </c>
      <c r="G1341" s="5" t="n">
        <v>78</v>
      </c>
      <c r="H1341" s="10">
        <f>IF(E1341&gt;0,G1341/E1341,"")</f>
        <v/>
      </c>
      <c r="I1341" s="11">
        <f>IF(AND(F1341&gt;0,G1341&gt;0),F1341/G1341,"")</f>
        <v/>
      </c>
    </row>
    <row r="1342">
      <c r="A1342" s="4" t="inlineStr">
        <is>
          <t>621</t>
        </is>
      </c>
      <c r="B1342" s="4" t="n">
        <v>6</v>
      </c>
      <c r="C1342" s="4" t="inlineStr">
        <is>
          <t>whitetail</t>
        </is>
      </c>
      <c r="D1342" s="4" t="n">
        <v>2024</v>
      </c>
      <c r="E1342" s="5" t="n"/>
      <c r="F1342" s="5" t="n"/>
      <c r="G1342" s="5" t="n">
        <v>62</v>
      </c>
      <c r="H1342" s="10">
        <f>IF(E1342&gt;0,G1342/E1342,"")</f>
        <v/>
      </c>
      <c r="I1342" s="11">
        <f>IF(AND(F1342&gt;0,G1342&gt;0),F1342/G1342,"")</f>
        <v/>
      </c>
    </row>
    <row r="1343">
      <c r="A1343" s="4" t="inlineStr">
        <is>
          <t>621</t>
        </is>
      </c>
      <c r="B1343" s="4" t="n">
        <v>6</v>
      </c>
      <c r="C1343" s="4" t="inlineStr">
        <is>
          <t>whitetail</t>
        </is>
      </c>
      <c r="D1343" s="4" t="n">
        <v>2025</v>
      </c>
      <c r="E1343" s="5" t="n">
        <v>764</v>
      </c>
      <c r="F1343" s="5" t="n">
        <v>5003</v>
      </c>
      <c r="G1343" s="5" t="n">
        <v>38</v>
      </c>
      <c r="H1343" s="10">
        <f>IF(E1343&gt;0,G1343/E1343,"")</f>
        <v/>
      </c>
      <c r="I1343" s="11">
        <f>IF(AND(F1343&gt;0,G1343&gt;0),F1343/G1343,"")</f>
        <v/>
      </c>
    </row>
    <row r="1344">
      <c r="A1344" s="4" t="inlineStr">
        <is>
          <t>622</t>
        </is>
      </c>
      <c r="B1344" s="4" t="n">
        <v>6</v>
      </c>
      <c r="C1344" s="4" t="inlineStr">
        <is>
          <t>whitetail</t>
        </is>
      </c>
      <c r="D1344" s="4" t="n">
        <v>2021</v>
      </c>
      <c r="E1344" s="5" t="n">
        <v>633</v>
      </c>
      <c r="F1344" s="5" t="n">
        <v>3156</v>
      </c>
      <c r="G1344" s="5" t="n">
        <v>4</v>
      </c>
      <c r="H1344" s="10">
        <f>IF(E1344&gt;0,G1344/E1344,"")</f>
        <v/>
      </c>
      <c r="I1344" s="11">
        <f>IF(AND(F1344&gt;0,G1344&gt;0),F1344/G1344,"")</f>
        <v/>
      </c>
    </row>
    <row r="1345">
      <c r="A1345" s="4" t="inlineStr">
        <is>
          <t>622</t>
        </is>
      </c>
      <c r="B1345" s="4" t="n">
        <v>6</v>
      </c>
      <c r="C1345" s="4" t="inlineStr">
        <is>
          <t>whitetail</t>
        </is>
      </c>
      <c r="D1345" s="4" t="n">
        <v>2022</v>
      </c>
      <c r="E1345" s="5" t="n"/>
      <c r="F1345" s="5" t="n"/>
      <c r="G1345" s="5" t="n">
        <v>8</v>
      </c>
      <c r="H1345" s="10">
        <f>IF(E1345&gt;0,G1345/E1345,"")</f>
        <v/>
      </c>
      <c r="I1345" s="11">
        <f>IF(AND(F1345&gt;0,G1345&gt;0),F1345/G1345,"")</f>
        <v/>
      </c>
    </row>
    <row r="1346">
      <c r="A1346" s="4" t="inlineStr">
        <is>
          <t>622</t>
        </is>
      </c>
      <c r="B1346" s="4" t="n">
        <v>6</v>
      </c>
      <c r="C1346" s="4" t="inlineStr">
        <is>
          <t>whitetail</t>
        </is>
      </c>
      <c r="D1346" s="4" t="n">
        <v>2023</v>
      </c>
      <c r="E1346" s="5" t="n">
        <v>475</v>
      </c>
      <c r="F1346" s="5" t="n">
        <v>2343</v>
      </c>
      <c r="G1346" s="5" t="n">
        <v>17</v>
      </c>
      <c r="H1346" s="10">
        <f>IF(E1346&gt;0,G1346/E1346,"")</f>
        <v/>
      </c>
      <c r="I1346" s="11">
        <f>IF(AND(F1346&gt;0,G1346&gt;0),F1346/G1346,"")</f>
        <v/>
      </c>
    </row>
    <row r="1347">
      <c r="A1347" s="4" t="inlineStr">
        <is>
          <t>622</t>
        </is>
      </c>
      <c r="B1347" s="4" t="n">
        <v>6</v>
      </c>
      <c r="C1347" s="4" t="inlineStr">
        <is>
          <t>whitetail</t>
        </is>
      </c>
      <c r="D1347" s="4" t="n">
        <v>2024</v>
      </c>
      <c r="E1347" s="5" t="n"/>
      <c r="F1347" s="5" t="n"/>
      <c r="G1347" s="5" t="n">
        <v>15</v>
      </c>
      <c r="H1347" s="10">
        <f>IF(E1347&gt;0,G1347/E1347,"")</f>
        <v/>
      </c>
      <c r="I1347" s="11">
        <f>IF(AND(F1347&gt;0,G1347&gt;0),F1347/G1347,"")</f>
        <v/>
      </c>
    </row>
    <row r="1348">
      <c r="A1348" s="4" t="inlineStr">
        <is>
          <t>622</t>
        </is>
      </c>
      <c r="B1348" s="4" t="n">
        <v>6</v>
      </c>
      <c r="C1348" s="4" t="inlineStr">
        <is>
          <t>whitetail</t>
        </is>
      </c>
      <c r="D1348" s="4" t="n">
        <v>2025</v>
      </c>
      <c r="E1348" s="5" t="n">
        <v>434</v>
      </c>
      <c r="F1348" s="5" t="n">
        <v>2493</v>
      </c>
      <c r="G1348" s="5" t="n">
        <v>23</v>
      </c>
      <c r="H1348" s="10">
        <f>IF(E1348&gt;0,G1348/E1348,"")</f>
        <v/>
      </c>
      <c r="I1348" s="11">
        <f>IF(AND(F1348&gt;0,G1348&gt;0),F1348/G1348,"")</f>
        <v/>
      </c>
    </row>
    <row r="1349">
      <c r="A1349" s="4" t="inlineStr">
        <is>
          <t>630</t>
        </is>
      </c>
      <c r="B1349" s="4" t="n">
        <v>6</v>
      </c>
      <c r="C1349" s="4" t="inlineStr">
        <is>
          <t>whitetail</t>
        </is>
      </c>
      <c r="D1349" s="4" t="n">
        <v>2021</v>
      </c>
      <c r="E1349" s="5" t="n">
        <v>1931</v>
      </c>
      <c r="F1349" s="5" t="n">
        <v>10362</v>
      </c>
      <c r="G1349" s="5" t="n">
        <v>310</v>
      </c>
      <c r="H1349" s="10">
        <f>IF(E1349&gt;0,G1349/E1349,"")</f>
        <v/>
      </c>
      <c r="I1349" s="11">
        <f>IF(AND(F1349&gt;0,G1349&gt;0),F1349/G1349,"")</f>
        <v/>
      </c>
    </row>
    <row r="1350">
      <c r="A1350" s="4" t="inlineStr">
        <is>
          <t>630</t>
        </is>
      </c>
      <c r="B1350" s="4" t="n">
        <v>6</v>
      </c>
      <c r="C1350" s="4" t="inlineStr">
        <is>
          <t>whitetail</t>
        </is>
      </c>
      <c r="D1350" s="4" t="n">
        <v>2022</v>
      </c>
      <c r="E1350" s="5" t="n"/>
      <c r="F1350" s="5" t="n"/>
      <c r="G1350" s="5" t="n">
        <v>505</v>
      </c>
      <c r="H1350" s="10">
        <f>IF(E1350&gt;0,G1350/E1350,"")</f>
        <v/>
      </c>
      <c r="I1350" s="11">
        <f>IF(AND(F1350&gt;0,G1350&gt;0),F1350/G1350,"")</f>
        <v/>
      </c>
    </row>
    <row r="1351">
      <c r="A1351" s="4" t="inlineStr">
        <is>
          <t>630</t>
        </is>
      </c>
      <c r="B1351" s="4" t="n">
        <v>6</v>
      </c>
      <c r="C1351" s="4" t="inlineStr">
        <is>
          <t>whitetail</t>
        </is>
      </c>
      <c r="D1351" s="4" t="n">
        <v>2023</v>
      </c>
      <c r="E1351" s="5" t="n">
        <v>1964</v>
      </c>
      <c r="F1351" s="5" t="n">
        <v>10722</v>
      </c>
      <c r="G1351" s="5" t="n">
        <v>352</v>
      </c>
      <c r="H1351" s="10">
        <f>IF(E1351&gt;0,G1351/E1351,"")</f>
        <v/>
      </c>
      <c r="I1351" s="11">
        <f>IF(AND(F1351&gt;0,G1351&gt;0),F1351/G1351,"")</f>
        <v/>
      </c>
    </row>
    <row r="1352">
      <c r="A1352" s="4" t="inlineStr">
        <is>
          <t>630</t>
        </is>
      </c>
      <c r="B1352" s="4" t="n">
        <v>6</v>
      </c>
      <c r="C1352" s="4" t="inlineStr">
        <is>
          <t>whitetail</t>
        </is>
      </c>
      <c r="D1352" s="4" t="n">
        <v>2024</v>
      </c>
      <c r="E1352" s="5" t="n"/>
      <c r="F1352" s="5" t="n"/>
      <c r="G1352" s="5" t="n">
        <v>412</v>
      </c>
      <c r="H1352" s="10">
        <f>IF(E1352&gt;0,G1352/E1352,"")</f>
        <v/>
      </c>
      <c r="I1352" s="11">
        <f>IF(AND(F1352&gt;0,G1352&gt;0),F1352/G1352,"")</f>
        <v/>
      </c>
    </row>
    <row r="1353">
      <c r="A1353" s="4" t="inlineStr">
        <is>
          <t>630</t>
        </is>
      </c>
      <c r="B1353" s="4" t="n">
        <v>6</v>
      </c>
      <c r="C1353" s="4" t="inlineStr">
        <is>
          <t>whitetail</t>
        </is>
      </c>
      <c r="D1353" s="4" t="n">
        <v>2025</v>
      </c>
      <c r="E1353" s="5" t="n">
        <v>1664</v>
      </c>
      <c r="F1353" s="5" t="n">
        <v>11316</v>
      </c>
      <c r="G1353" s="5" t="n">
        <v>202</v>
      </c>
      <c r="H1353" s="10">
        <f>IF(E1353&gt;0,G1353/E1353,"")</f>
        <v/>
      </c>
      <c r="I1353" s="11">
        <f>IF(AND(F1353&gt;0,G1353&gt;0),F1353/G1353,"")</f>
        <v/>
      </c>
    </row>
    <row r="1354">
      <c r="A1354" s="4" t="inlineStr">
        <is>
          <t>632</t>
        </is>
      </c>
      <c r="B1354" s="4" t="n">
        <v>6</v>
      </c>
      <c r="C1354" s="4" t="inlineStr">
        <is>
          <t>whitetail</t>
        </is>
      </c>
      <c r="D1354" s="4" t="n">
        <v>2021</v>
      </c>
      <c r="E1354" s="5" t="n">
        <v>405</v>
      </c>
      <c r="F1354" s="5" t="n">
        <v>2379</v>
      </c>
      <c r="G1354" s="5" t="n">
        <v>9</v>
      </c>
      <c r="H1354" s="10">
        <f>IF(E1354&gt;0,G1354/E1354,"")</f>
        <v/>
      </c>
      <c r="I1354" s="11">
        <f>IF(AND(F1354&gt;0,G1354&gt;0),F1354/G1354,"")</f>
        <v/>
      </c>
    </row>
    <row r="1355">
      <c r="A1355" s="4" t="inlineStr">
        <is>
          <t>640</t>
        </is>
      </c>
      <c r="B1355" s="4" t="n">
        <v>6</v>
      </c>
      <c r="C1355" s="4" t="inlineStr">
        <is>
          <t>whitetail</t>
        </is>
      </c>
      <c r="D1355" s="4" t="n">
        <v>2021</v>
      </c>
      <c r="E1355" s="5" t="n">
        <v>2867</v>
      </c>
      <c r="F1355" s="5" t="n">
        <v>16531</v>
      </c>
      <c r="G1355" s="5" t="n">
        <v>784</v>
      </c>
      <c r="H1355" s="10">
        <f>IF(E1355&gt;0,G1355/E1355,"")</f>
        <v/>
      </c>
      <c r="I1355" s="11">
        <f>IF(AND(F1355&gt;0,G1355&gt;0),F1355/G1355,"")</f>
        <v/>
      </c>
    </row>
    <row r="1356">
      <c r="A1356" s="4" t="inlineStr">
        <is>
          <t>640</t>
        </is>
      </c>
      <c r="B1356" s="4" t="n">
        <v>6</v>
      </c>
      <c r="C1356" s="4" t="inlineStr">
        <is>
          <t>whitetail</t>
        </is>
      </c>
      <c r="D1356" s="4" t="n">
        <v>2022</v>
      </c>
      <c r="E1356" s="5" t="n"/>
      <c r="F1356" s="5" t="n"/>
      <c r="G1356" s="5" t="n">
        <v>926</v>
      </c>
      <c r="H1356" s="10">
        <f>IF(E1356&gt;0,G1356/E1356,"")</f>
        <v/>
      </c>
      <c r="I1356" s="11">
        <f>IF(AND(F1356&gt;0,G1356&gt;0),F1356/G1356,"")</f>
        <v/>
      </c>
    </row>
    <row r="1357">
      <c r="A1357" s="4" t="inlineStr">
        <is>
          <t>640</t>
        </is>
      </c>
      <c r="B1357" s="4" t="n">
        <v>6</v>
      </c>
      <c r="C1357" s="4" t="inlineStr">
        <is>
          <t>whitetail</t>
        </is>
      </c>
      <c r="D1357" s="4" t="n">
        <v>2023</v>
      </c>
      <c r="E1357" s="5" t="n">
        <v>3542</v>
      </c>
      <c r="F1357" s="5" t="n">
        <v>20669</v>
      </c>
      <c r="G1357" s="5" t="n">
        <v>850</v>
      </c>
      <c r="H1357" s="10">
        <f>IF(E1357&gt;0,G1357/E1357,"")</f>
        <v/>
      </c>
      <c r="I1357" s="11">
        <f>IF(AND(F1357&gt;0,G1357&gt;0),F1357/G1357,"")</f>
        <v/>
      </c>
    </row>
    <row r="1358">
      <c r="A1358" s="4" t="inlineStr">
        <is>
          <t>640</t>
        </is>
      </c>
      <c r="B1358" s="4" t="n">
        <v>6</v>
      </c>
      <c r="C1358" s="4" t="inlineStr">
        <is>
          <t>whitetail</t>
        </is>
      </c>
      <c r="D1358" s="4" t="n">
        <v>2024</v>
      </c>
      <c r="E1358" s="5" t="n"/>
      <c r="F1358" s="5" t="n"/>
      <c r="G1358" s="5" t="n">
        <v>810</v>
      </c>
      <c r="H1358" s="10">
        <f>IF(E1358&gt;0,G1358/E1358,"")</f>
        <v/>
      </c>
      <c r="I1358" s="11">
        <f>IF(AND(F1358&gt;0,G1358&gt;0),F1358/G1358,"")</f>
        <v/>
      </c>
    </row>
    <row r="1359">
      <c r="A1359" s="4" t="inlineStr">
        <is>
          <t>640</t>
        </is>
      </c>
      <c r="B1359" s="4" t="n">
        <v>6</v>
      </c>
      <c r="C1359" s="4" t="inlineStr">
        <is>
          <t>whitetail</t>
        </is>
      </c>
      <c r="D1359" s="4" t="n">
        <v>2025</v>
      </c>
      <c r="E1359" s="5" t="n">
        <v>2776</v>
      </c>
      <c r="F1359" s="5" t="n">
        <v>17162</v>
      </c>
      <c r="G1359" s="5" t="n">
        <v>470</v>
      </c>
      <c r="H1359" s="10">
        <f>IF(E1359&gt;0,G1359/E1359,"")</f>
        <v/>
      </c>
      <c r="I1359" s="11">
        <f>IF(AND(F1359&gt;0,G1359&gt;0),F1359/G1359,"")</f>
        <v/>
      </c>
    </row>
    <row r="1360">
      <c r="A1360" s="4" t="inlineStr">
        <is>
          <t>650</t>
        </is>
      </c>
      <c r="B1360" s="4" t="n">
        <v>6</v>
      </c>
      <c r="C1360" s="4" t="inlineStr">
        <is>
          <t>whitetail</t>
        </is>
      </c>
      <c r="D1360" s="4" t="n">
        <v>2021</v>
      </c>
      <c r="E1360" s="5" t="n">
        <v>2635</v>
      </c>
      <c r="F1360" s="5" t="n">
        <v>14152</v>
      </c>
      <c r="G1360" s="5" t="n">
        <v>388</v>
      </c>
      <c r="H1360" s="10">
        <f>IF(E1360&gt;0,G1360/E1360,"")</f>
        <v/>
      </c>
      <c r="I1360" s="11">
        <f>IF(AND(F1360&gt;0,G1360&gt;0),F1360/G1360,"")</f>
        <v/>
      </c>
    </row>
    <row r="1361">
      <c r="A1361" s="4" t="inlineStr">
        <is>
          <t>650</t>
        </is>
      </c>
      <c r="B1361" s="4" t="n">
        <v>6</v>
      </c>
      <c r="C1361" s="4" t="inlineStr">
        <is>
          <t>whitetail</t>
        </is>
      </c>
      <c r="D1361" s="4" t="n">
        <v>2022</v>
      </c>
      <c r="E1361" s="5" t="n"/>
      <c r="F1361" s="5" t="n"/>
      <c r="G1361" s="5" t="n">
        <v>415</v>
      </c>
      <c r="H1361" s="10">
        <f>IF(E1361&gt;0,G1361/E1361,"")</f>
        <v/>
      </c>
      <c r="I1361" s="11">
        <f>IF(AND(F1361&gt;0,G1361&gt;0),F1361/G1361,"")</f>
        <v/>
      </c>
    </row>
    <row r="1362">
      <c r="A1362" s="4" t="inlineStr">
        <is>
          <t>650</t>
        </is>
      </c>
      <c r="B1362" s="4" t="n">
        <v>6</v>
      </c>
      <c r="C1362" s="4" t="inlineStr">
        <is>
          <t>whitetail</t>
        </is>
      </c>
      <c r="D1362" s="4" t="n">
        <v>2023</v>
      </c>
      <c r="E1362" s="5" t="n">
        <v>2538</v>
      </c>
      <c r="F1362" s="5" t="n">
        <v>13513</v>
      </c>
      <c r="G1362" s="5" t="n">
        <v>375</v>
      </c>
      <c r="H1362" s="10">
        <f>IF(E1362&gt;0,G1362/E1362,"")</f>
        <v/>
      </c>
      <c r="I1362" s="11">
        <f>IF(AND(F1362&gt;0,G1362&gt;0),F1362/G1362,"")</f>
        <v/>
      </c>
    </row>
    <row r="1363">
      <c r="A1363" s="4" t="inlineStr">
        <is>
          <t>650</t>
        </is>
      </c>
      <c r="B1363" s="4" t="n">
        <v>6</v>
      </c>
      <c r="C1363" s="4" t="inlineStr">
        <is>
          <t>whitetail</t>
        </is>
      </c>
      <c r="D1363" s="4" t="n">
        <v>2024</v>
      </c>
      <c r="E1363" s="5" t="n"/>
      <c r="F1363" s="5" t="n"/>
      <c r="G1363" s="5" t="n">
        <v>293</v>
      </c>
      <c r="H1363" s="10">
        <f>IF(E1363&gt;0,G1363/E1363,"")</f>
        <v/>
      </c>
      <c r="I1363" s="11">
        <f>IF(AND(F1363&gt;0,G1363&gt;0),F1363/G1363,"")</f>
        <v/>
      </c>
    </row>
    <row r="1364">
      <c r="A1364" s="4" t="inlineStr">
        <is>
          <t>650</t>
        </is>
      </c>
      <c r="B1364" s="4" t="n">
        <v>6</v>
      </c>
      <c r="C1364" s="4" t="inlineStr">
        <is>
          <t>whitetail</t>
        </is>
      </c>
      <c r="D1364" s="4" t="n">
        <v>2025</v>
      </c>
      <c r="E1364" s="5" t="n">
        <v>2010</v>
      </c>
      <c r="F1364" s="5" t="n">
        <v>12283</v>
      </c>
      <c r="G1364" s="5" t="n">
        <v>182</v>
      </c>
      <c r="H1364" s="10">
        <f>IF(E1364&gt;0,G1364/E1364,"")</f>
        <v/>
      </c>
      <c r="I1364" s="11">
        <f>IF(AND(F1364&gt;0,G1364&gt;0),F1364/G1364,"")</f>
        <v/>
      </c>
    </row>
    <row r="1365">
      <c r="A1365" s="4" t="inlineStr">
        <is>
          <t>652</t>
        </is>
      </c>
      <c r="B1365" s="4" t="n">
        <v>6</v>
      </c>
      <c r="C1365" s="4" t="inlineStr">
        <is>
          <t>whitetail</t>
        </is>
      </c>
      <c r="D1365" s="4" t="n">
        <v>2021</v>
      </c>
      <c r="E1365" s="5" t="n">
        <v>169</v>
      </c>
      <c r="F1365" s="5" t="n">
        <v>1200</v>
      </c>
      <c r="G1365" s="5" t="n">
        <v>4</v>
      </c>
      <c r="H1365" s="10">
        <f>IF(E1365&gt;0,G1365/E1365,"")</f>
        <v/>
      </c>
      <c r="I1365" s="11">
        <f>IF(AND(F1365&gt;0,G1365&gt;0),F1365/G1365,"")</f>
        <v/>
      </c>
    </row>
    <row r="1366">
      <c r="A1366" s="4" t="inlineStr">
        <is>
          <t>652</t>
        </is>
      </c>
      <c r="B1366" s="4" t="n">
        <v>6</v>
      </c>
      <c r="C1366" s="4" t="inlineStr">
        <is>
          <t>whitetail</t>
        </is>
      </c>
      <c r="D1366" s="4" t="n">
        <v>2022</v>
      </c>
      <c r="E1366" s="5" t="n"/>
      <c r="F1366" s="5" t="n"/>
      <c r="G1366" s="5" t="n">
        <v>27</v>
      </c>
      <c r="H1366" s="10">
        <f>IF(E1366&gt;0,G1366/E1366,"")</f>
        <v/>
      </c>
      <c r="I1366" s="11">
        <f>IF(AND(F1366&gt;0,G1366&gt;0),F1366/G1366,"")</f>
        <v/>
      </c>
    </row>
    <row r="1367">
      <c r="A1367" s="4" t="inlineStr">
        <is>
          <t>652</t>
        </is>
      </c>
      <c r="B1367" s="4" t="n">
        <v>6</v>
      </c>
      <c r="C1367" s="4" t="inlineStr">
        <is>
          <t>whitetail</t>
        </is>
      </c>
      <c r="D1367" s="4" t="n">
        <v>2023</v>
      </c>
      <c r="E1367" s="5" t="n">
        <v>173</v>
      </c>
      <c r="F1367" s="5" t="n">
        <v>978</v>
      </c>
      <c r="G1367" s="5" t="n">
        <v>19</v>
      </c>
      <c r="H1367" s="10">
        <f>IF(E1367&gt;0,G1367/E1367,"")</f>
        <v/>
      </c>
      <c r="I1367" s="11">
        <f>IF(AND(F1367&gt;0,G1367&gt;0),F1367/G1367,"")</f>
        <v/>
      </c>
    </row>
    <row r="1368">
      <c r="A1368" s="4" t="inlineStr">
        <is>
          <t>652</t>
        </is>
      </c>
      <c r="B1368" s="4" t="n">
        <v>6</v>
      </c>
      <c r="C1368" s="4" t="inlineStr">
        <is>
          <t>whitetail</t>
        </is>
      </c>
      <c r="D1368" s="4" t="n">
        <v>2024</v>
      </c>
      <c r="E1368" s="5" t="n"/>
      <c r="F1368" s="5" t="n"/>
      <c r="G1368" s="5" t="n">
        <v>20</v>
      </c>
      <c r="H1368" s="10">
        <f>IF(E1368&gt;0,G1368/E1368,"")</f>
        <v/>
      </c>
      <c r="I1368" s="11">
        <f>IF(AND(F1368&gt;0,G1368&gt;0),F1368/G1368,"")</f>
        <v/>
      </c>
    </row>
    <row r="1369">
      <c r="A1369" s="4" t="inlineStr">
        <is>
          <t>652</t>
        </is>
      </c>
      <c r="B1369" s="4" t="n">
        <v>6</v>
      </c>
      <c r="C1369" s="4" t="inlineStr">
        <is>
          <t>whitetail</t>
        </is>
      </c>
      <c r="D1369" s="4" t="n">
        <v>2025</v>
      </c>
      <c r="E1369" s="5" t="n">
        <v>123</v>
      </c>
      <c r="F1369" s="5" t="n">
        <v>734</v>
      </c>
      <c r="G1369" s="5" t="n">
        <v>8</v>
      </c>
      <c r="H1369" s="10">
        <f>IF(E1369&gt;0,G1369/E1369,"")</f>
        <v/>
      </c>
      <c r="I1369" s="11">
        <f>IF(AND(F1369&gt;0,G1369&gt;0),F1369/G1369,"")</f>
        <v/>
      </c>
    </row>
    <row r="1370">
      <c r="A1370" s="4" t="inlineStr">
        <is>
          <t>670</t>
        </is>
      </c>
      <c r="B1370" s="4" t="n">
        <v>6</v>
      </c>
      <c r="C1370" s="4" t="inlineStr">
        <is>
          <t>whitetail</t>
        </is>
      </c>
      <c r="D1370" s="4" t="n">
        <v>2021</v>
      </c>
      <c r="E1370" s="5" t="n">
        <v>3853</v>
      </c>
      <c r="F1370" s="5" t="n">
        <v>19975</v>
      </c>
      <c r="G1370" s="5" t="n">
        <v>542</v>
      </c>
      <c r="H1370" s="10">
        <f>IF(E1370&gt;0,G1370/E1370,"")</f>
        <v/>
      </c>
      <c r="I1370" s="11">
        <f>IF(AND(F1370&gt;0,G1370&gt;0),F1370/G1370,"")</f>
        <v/>
      </c>
    </row>
    <row r="1371">
      <c r="A1371" s="4" t="inlineStr">
        <is>
          <t>670</t>
        </is>
      </c>
      <c r="B1371" s="4" t="n">
        <v>6</v>
      </c>
      <c r="C1371" s="4" t="inlineStr">
        <is>
          <t>whitetail</t>
        </is>
      </c>
      <c r="D1371" s="4" t="n">
        <v>2022</v>
      </c>
      <c r="E1371" s="5" t="n"/>
      <c r="F1371" s="5" t="n"/>
      <c r="G1371" s="5" t="n">
        <v>571</v>
      </c>
      <c r="H1371" s="10">
        <f>IF(E1371&gt;0,G1371/E1371,"")</f>
        <v/>
      </c>
      <c r="I1371" s="11">
        <f>IF(AND(F1371&gt;0,G1371&gt;0),F1371/G1371,"")</f>
        <v/>
      </c>
    </row>
    <row r="1372">
      <c r="A1372" s="4" t="inlineStr">
        <is>
          <t>670</t>
        </is>
      </c>
      <c r="B1372" s="4" t="n">
        <v>6</v>
      </c>
      <c r="C1372" s="4" t="inlineStr">
        <is>
          <t>whitetail</t>
        </is>
      </c>
      <c r="D1372" s="4" t="n">
        <v>2023</v>
      </c>
      <c r="E1372" s="5" t="n">
        <v>3574</v>
      </c>
      <c r="F1372" s="5" t="n">
        <v>19455</v>
      </c>
      <c r="G1372" s="5" t="n">
        <v>488</v>
      </c>
      <c r="H1372" s="10">
        <f>IF(E1372&gt;0,G1372/E1372,"")</f>
        <v/>
      </c>
      <c r="I1372" s="11">
        <f>IF(AND(F1372&gt;0,G1372&gt;0),F1372/G1372,"")</f>
        <v/>
      </c>
    </row>
    <row r="1373">
      <c r="A1373" s="4" t="inlineStr">
        <is>
          <t>670</t>
        </is>
      </c>
      <c r="B1373" s="4" t="n">
        <v>6</v>
      </c>
      <c r="C1373" s="4" t="inlineStr">
        <is>
          <t>whitetail</t>
        </is>
      </c>
      <c r="D1373" s="4" t="n">
        <v>2024</v>
      </c>
      <c r="E1373" s="5" t="n"/>
      <c r="F1373" s="5" t="n"/>
      <c r="G1373" s="5" t="n">
        <v>472</v>
      </c>
      <c r="H1373" s="10">
        <f>IF(E1373&gt;0,G1373/E1373,"")</f>
        <v/>
      </c>
      <c r="I1373" s="11">
        <f>IF(AND(F1373&gt;0,G1373&gt;0),F1373/G1373,"")</f>
        <v/>
      </c>
    </row>
    <row r="1374">
      <c r="A1374" s="4" t="inlineStr">
        <is>
          <t>670</t>
        </is>
      </c>
      <c r="B1374" s="4" t="n">
        <v>6</v>
      </c>
      <c r="C1374" s="4" t="inlineStr">
        <is>
          <t>whitetail</t>
        </is>
      </c>
      <c r="D1374" s="4" t="n">
        <v>2025</v>
      </c>
      <c r="E1374" s="5" t="n">
        <v>2456</v>
      </c>
      <c r="F1374" s="5" t="n">
        <v>14292</v>
      </c>
      <c r="G1374" s="5" t="n">
        <v>213</v>
      </c>
      <c r="H1374" s="10">
        <f>IF(E1374&gt;0,G1374/E1374,"")</f>
        <v/>
      </c>
      <c r="I1374" s="11">
        <f>IF(AND(F1374&gt;0,G1374&gt;0),F1374/G1374,"")</f>
        <v/>
      </c>
    </row>
    <row r="1375">
      <c r="A1375" s="4" t="inlineStr">
        <is>
          <t>690</t>
        </is>
      </c>
      <c r="B1375" s="4" t="n">
        <v>6</v>
      </c>
      <c r="C1375" s="4" t="inlineStr">
        <is>
          <t>whitetail</t>
        </is>
      </c>
      <c r="D1375" s="4" t="n">
        <v>2021</v>
      </c>
      <c r="E1375" s="5" t="n">
        <v>3447</v>
      </c>
      <c r="F1375" s="5" t="n">
        <v>17101</v>
      </c>
      <c r="G1375" s="5" t="n">
        <v>528</v>
      </c>
      <c r="H1375" s="10">
        <f>IF(E1375&gt;0,G1375/E1375,"")</f>
        <v/>
      </c>
      <c r="I1375" s="11">
        <f>IF(AND(F1375&gt;0,G1375&gt;0),F1375/G1375,"")</f>
        <v/>
      </c>
    </row>
    <row r="1376">
      <c r="A1376" s="4" t="inlineStr">
        <is>
          <t>690</t>
        </is>
      </c>
      <c r="B1376" s="4" t="n">
        <v>6</v>
      </c>
      <c r="C1376" s="4" t="inlineStr">
        <is>
          <t>whitetail</t>
        </is>
      </c>
      <c r="D1376" s="4" t="n">
        <v>2022</v>
      </c>
      <c r="E1376" s="5" t="n"/>
      <c r="F1376" s="5" t="n"/>
      <c r="G1376" s="5" t="n">
        <v>660</v>
      </c>
      <c r="H1376" s="10">
        <f>IF(E1376&gt;0,G1376/E1376,"")</f>
        <v/>
      </c>
      <c r="I1376" s="11">
        <f>IF(AND(F1376&gt;0,G1376&gt;0),F1376/G1376,"")</f>
        <v/>
      </c>
    </row>
    <row r="1377">
      <c r="A1377" s="4" t="inlineStr">
        <is>
          <t>690</t>
        </is>
      </c>
      <c r="B1377" s="4" t="n">
        <v>6</v>
      </c>
      <c r="C1377" s="4" t="inlineStr">
        <is>
          <t>whitetail</t>
        </is>
      </c>
      <c r="D1377" s="4" t="n">
        <v>2023</v>
      </c>
      <c r="E1377" s="5" t="n">
        <v>3038</v>
      </c>
      <c r="F1377" s="5" t="n">
        <v>16683</v>
      </c>
      <c r="G1377" s="5" t="n">
        <v>530</v>
      </c>
      <c r="H1377" s="10">
        <f>IF(E1377&gt;0,G1377/E1377,"")</f>
        <v/>
      </c>
      <c r="I1377" s="11">
        <f>IF(AND(F1377&gt;0,G1377&gt;0),F1377/G1377,"")</f>
        <v/>
      </c>
    </row>
    <row r="1378">
      <c r="A1378" s="4" t="inlineStr">
        <is>
          <t>690</t>
        </is>
      </c>
      <c r="B1378" s="4" t="n">
        <v>6</v>
      </c>
      <c r="C1378" s="4" t="inlineStr">
        <is>
          <t>whitetail</t>
        </is>
      </c>
      <c r="D1378" s="4" t="n">
        <v>2024</v>
      </c>
      <c r="E1378" s="5" t="n"/>
      <c r="F1378" s="5" t="n"/>
      <c r="G1378" s="5" t="n">
        <v>446</v>
      </c>
      <c r="H1378" s="10">
        <f>IF(E1378&gt;0,G1378/E1378,"")</f>
        <v/>
      </c>
      <c r="I1378" s="11">
        <f>IF(AND(F1378&gt;0,G1378&gt;0),F1378/G1378,"")</f>
        <v/>
      </c>
    </row>
    <row r="1379">
      <c r="A1379" s="4" t="inlineStr">
        <is>
          <t>690</t>
        </is>
      </c>
      <c r="B1379" s="4" t="n">
        <v>6</v>
      </c>
      <c r="C1379" s="4" t="inlineStr">
        <is>
          <t>whitetail</t>
        </is>
      </c>
      <c r="D1379" s="4" t="n">
        <v>2025</v>
      </c>
      <c r="E1379" s="5" t="n">
        <v>2914</v>
      </c>
      <c r="F1379" s="5" t="n">
        <v>15526</v>
      </c>
      <c r="G1379" s="5" t="n">
        <v>350</v>
      </c>
      <c r="H1379" s="10">
        <f>IF(E1379&gt;0,G1379/E1379,"")</f>
        <v/>
      </c>
      <c r="I1379" s="11">
        <f>IF(AND(F1379&gt;0,G1379&gt;0),F1379/G1379,"")</f>
        <v/>
      </c>
    </row>
    <row r="1380">
      <c r="A1380" s="4" t="inlineStr">
        <is>
          <t>700</t>
        </is>
      </c>
      <c r="B1380" s="4" t="n">
        <v>7</v>
      </c>
      <c r="C1380" s="4" t="inlineStr">
        <is>
          <t>whitetail</t>
        </is>
      </c>
      <c r="D1380" s="4" t="n">
        <v>2021</v>
      </c>
      <c r="E1380" s="5" t="n">
        <v>4493</v>
      </c>
      <c r="F1380" s="5" t="n">
        <v>26648</v>
      </c>
      <c r="G1380" s="5" t="n">
        <v>774</v>
      </c>
      <c r="H1380" s="10">
        <f>IF(E1380&gt;0,G1380/E1380,"")</f>
        <v/>
      </c>
      <c r="I1380" s="11">
        <f>IF(AND(F1380&gt;0,G1380&gt;0),F1380/G1380,"")</f>
        <v/>
      </c>
    </row>
    <row r="1381">
      <c r="A1381" s="4" t="inlineStr">
        <is>
          <t>700</t>
        </is>
      </c>
      <c r="B1381" s="4" t="n">
        <v>7</v>
      </c>
      <c r="C1381" s="4" t="inlineStr">
        <is>
          <t>whitetail</t>
        </is>
      </c>
      <c r="D1381" s="4" t="n">
        <v>2022</v>
      </c>
      <c r="E1381" s="5" t="n"/>
      <c r="F1381" s="5" t="n"/>
      <c r="G1381" s="5" t="n">
        <v>639</v>
      </c>
      <c r="H1381" s="10">
        <f>IF(E1381&gt;0,G1381/E1381,"")</f>
        <v/>
      </c>
      <c r="I1381" s="11">
        <f>IF(AND(F1381&gt;0,G1381&gt;0),F1381/G1381,"")</f>
        <v/>
      </c>
    </row>
    <row r="1382">
      <c r="A1382" s="4" t="inlineStr">
        <is>
          <t>700</t>
        </is>
      </c>
      <c r="B1382" s="4" t="n">
        <v>7</v>
      </c>
      <c r="C1382" s="4" t="inlineStr">
        <is>
          <t>whitetail</t>
        </is>
      </c>
      <c r="D1382" s="4" t="n">
        <v>2023</v>
      </c>
      <c r="E1382" s="5" t="n">
        <v>3467</v>
      </c>
      <c r="F1382" s="5" t="n">
        <v>21061</v>
      </c>
      <c r="G1382" s="5" t="n">
        <v>716</v>
      </c>
      <c r="H1382" s="10">
        <f>IF(E1382&gt;0,G1382/E1382,"")</f>
        <v/>
      </c>
      <c r="I1382" s="11">
        <f>IF(AND(F1382&gt;0,G1382&gt;0),F1382/G1382,"")</f>
        <v/>
      </c>
    </row>
    <row r="1383">
      <c r="A1383" s="4" t="inlineStr">
        <is>
          <t>700</t>
        </is>
      </c>
      <c r="B1383" s="4" t="n">
        <v>7</v>
      </c>
      <c r="C1383" s="4" t="inlineStr">
        <is>
          <t>whitetail</t>
        </is>
      </c>
      <c r="D1383" s="4" t="n">
        <v>2024</v>
      </c>
      <c r="E1383" s="5" t="n"/>
      <c r="F1383" s="5" t="n"/>
      <c r="G1383" s="5" t="n">
        <v>598</v>
      </c>
      <c r="H1383" s="10">
        <f>IF(E1383&gt;0,G1383/E1383,"")</f>
        <v/>
      </c>
      <c r="I1383" s="11">
        <f>IF(AND(F1383&gt;0,G1383&gt;0),F1383/G1383,"")</f>
        <v/>
      </c>
    </row>
    <row r="1384">
      <c r="A1384" s="4" t="inlineStr">
        <is>
          <t>700</t>
        </is>
      </c>
      <c r="B1384" s="4" t="n">
        <v>7</v>
      </c>
      <c r="C1384" s="4" t="inlineStr">
        <is>
          <t>whitetail</t>
        </is>
      </c>
      <c r="D1384" s="4" t="n">
        <v>2025</v>
      </c>
      <c r="E1384" s="5" t="n">
        <v>3259</v>
      </c>
      <c r="F1384" s="5" t="n">
        <v>23783</v>
      </c>
      <c r="G1384" s="5" t="n">
        <v>480</v>
      </c>
      <c r="H1384" s="10">
        <f>IF(E1384&gt;0,G1384/E1384,"")</f>
        <v/>
      </c>
      <c r="I1384" s="11">
        <f>IF(AND(F1384&gt;0,G1384&gt;0),F1384/G1384,"")</f>
        <v/>
      </c>
    </row>
    <row r="1385">
      <c r="A1385" s="4" t="inlineStr">
        <is>
          <t>701</t>
        </is>
      </c>
      <c r="B1385" s="4" t="n">
        <v>7</v>
      </c>
      <c r="C1385" s="4" t="inlineStr">
        <is>
          <t>whitetail</t>
        </is>
      </c>
      <c r="D1385" s="4" t="n">
        <v>2021</v>
      </c>
      <c r="E1385" s="5" t="n">
        <v>3629</v>
      </c>
      <c r="F1385" s="5" t="n">
        <v>18129</v>
      </c>
      <c r="G1385" s="5" t="n">
        <v>1042</v>
      </c>
      <c r="H1385" s="10">
        <f>IF(E1385&gt;0,G1385/E1385,"")</f>
        <v/>
      </c>
      <c r="I1385" s="11">
        <f>IF(AND(F1385&gt;0,G1385&gt;0),F1385/G1385,"")</f>
        <v/>
      </c>
    </row>
    <row r="1386">
      <c r="A1386" s="4" t="inlineStr">
        <is>
          <t>701</t>
        </is>
      </c>
      <c r="B1386" s="4" t="n">
        <v>7</v>
      </c>
      <c r="C1386" s="4" t="inlineStr">
        <is>
          <t>whitetail</t>
        </is>
      </c>
      <c r="D1386" s="4" t="n">
        <v>2022</v>
      </c>
      <c r="E1386" s="5" t="n"/>
      <c r="F1386" s="5" t="n"/>
      <c r="G1386" s="5" t="n">
        <v>1026</v>
      </c>
      <c r="H1386" s="10">
        <f>IF(E1386&gt;0,G1386/E1386,"")</f>
        <v/>
      </c>
      <c r="I1386" s="11">
        <f>IF(AND(F1386&gt;0,G1386&gt;0),F1386/G1386,"")</f>
        <v/>
      </c>
    </row>
    <row r="1387">
      <c r="A1387" s="4" t="inlineStr">
        <is>
          <t>701</t>
        </is>
      </c>
      <c r="B1387" s="4" t="n">
        <v>7</v>
      </c>
      <c r="C1387" s="4" t="inlineStr">
        <is>
          <t>whitetail</t>
        </is>
      </c>
      <c r="D1387" s="4" t="n">
        <v>2023</v>
      </c>
      <c r="E1387" s="5" t="n">
        <v>3415</v>
      </c>
      <c r="F1387" s="5" t="n">
        <v>18809</v>
      </c>
      <c r="G1387" s="5" t="n">
        <v>1203</v>
      </c>
      <c r="H1387" s="10">
        <f>IF(E1387&gt;0,G1387/E1387,"")</f>
        <v/>
      </c>
      <c r="I1387" s="11">
        <f>IF(AND(F1387&gt;0,G1387&gt;0),F1387/G1387,"")</f>
        <v/>
      </c>
    </row>
    <row r="1388">
      <c r="A1388" s="4" t="inlineStr">
        <is>
          <t>701</t>
        </is>
      </c>
      <c r="B1388" s="4" t="n">
        <v>7</v>
      </c>
      <c r="C1388" s="4" t="inlineStr">
        <is>
          <t>whitetail</t>
        </is>
      </c>
      <c r="D1388" s="4" t="n">
        <v>2024</v>
      </c>
      <c r="E1388" s="5" t="n"/>
      <c r="F1388" s="5" t="n"/>
      <c r="G1388" s="5" t="n">
        <v>940</v>
      </c>
      <c r="H1388" s="10">
        <f>IF(E1388&gt;0,G1388/E1388,"")</f>
        <v/>
      </c>
      <c r="I1388" s="11">
        <f>IF(AND(F1388&gt;0,G1388&gt;0),F1388/G1388,"")</f>
        <v/>
      </c>
    </row>
    <row r="1389">
      <c r="A1389" s="4" t="inlineStr">
        <is>
          <t>701</t>
        </is>
      </c>
      <c r="B1389" s="4" t="n">
        <v>7</v>
      </c>
      <c r="C1389" s="4" t="inlineStr">
        <is>
          <t>whitetail</t>
        </is>
      </c>
      <c r="D1389" s="4" t="n">
        <v>2025</v>
      </c>
      <c r="E1389" s="5" t="n">
        <v>3286</v>
      </c>
      <c r="F1389" s="5" t="n">
        <v>18840</v>
      </c>
      <c r="G1389" s="5" t="n">
        <v>790</v>
      </c>
      <c r="H1389" s="10">
        <f>IF(E1389&gt;0,G1389/E1389,"")</f>
        <v/>
      </c>
      <c r="I1389" s="11">
        <f>IF(AND(F1389&gt;0,G1389&gt;0),F1389/G1389,"")</f>
        <v/>
      </c>
    </row>
    <row r="1390">
      <c r="A1390" s="4" t="inlineStr">
        <is>
          <t>702</t>
        </is>
      </c>
      <c r="B1390" s="4" t="n">
        <v>7</v>
      </c>
      <c r="C1390" s="4" t="inlineStr">
        <is>
          <t>whitetail</t>
        </is>
      </c>
      <c r="D1390" s="4" t="n">
        <v>2021</v>
      </c>
      <c r="E1390" s="5" t="n">
        <v>1842</v>
      </c>
      <c r="F1390" s="5" t="n">
        <v>10611</v>
      </c>
      <c r="G1390" s="5" t="n">
        <v>373</v>
      </c>
      <c r="H1390" s="10">
        <f>IF(E1390&gt;0,G1390/E1390,"")</f>
        <v/>
      </c>
      <c r="I1390" s="11">
        <f>IF(AND(F1390&gt;0,G1390&gt;0),F1390/G1390,"")</f>
        <v/>
      </c>
    </row>
    <row r="1391">
      <c r="A1391" s="4" t="inlineStr">
        <is>
          <t>702</t>
        </is>
      </c>
      <c r="B1391" s="4" t="n">
        <v>7</v>
      </c>
      <c r="C1391" s="4" t="inlineStr">
        <is>
          <t>whitetail</t>
        </is>
      </c>
      <c r="D1391" s="4" t="n">
        <v>2022</v>
      </c>
      <c r="E1391" s="5" t="n"/>
      <c r="F1391" s="5" t="n"/>
      <c r="G1391" s="5" t="n">
        <v>422</v>
      </c>
      <c r="H1391" s="10">
        <f>IF(E1391&gt;0,G1391/E1391,"")</f>
        <v/>
      </c>
      <c r="I1391" s="11">
        <f>IF(AND(F1391&gt;0,G1391&gt;0),F1391/G1391,"")</f>
        <v/>
      </c>
    </row>
    <row r="1392">
      <c r="A1392" s="4" t="inlineStr">
        <is>
          <t>702</t>
        </is>
      </c>
      <c r="B1392" s="4" t="n">
        <v>7</v>
      </c>
      <c r="C1392" s="4" t="inlineStr">
        <is>
          <t>whitetail</t>
        </is>
      </c>
      <c r="D1392" s="4" t="n">
        <v>2023</v>
      </c>
      <c r="E1392" s="5" t="n">
        <v>2028</v>
      </c>
      <c r="F1392" s="5" t="n">
        <v>11142</v>
      </c>
      <c r="G1392" s="5" t="n">
        <v>403</v>
      </c>
      <c r="H1392" s="10">
        <f>IF(E1392&gt;0,G1392/E1392,"")</f>
        <v/>
      </c>
      <c r="I1392" s="11">
        <f>IF(AND(F1392&gt;0,G1392&gt;0),F1392/G1392,"")</f>
        <v/>
      </c>
    </row>
    <row r="1393">
      <c r="A1393" s="4" t="inlineStr">
        <is>
          <t>702</t>
        </is>
      </c>
      <c r="B1393" s="4" t="n">
        <v>7</v>
      </c>
      <c r="C1393" s="4" t="inlineStr">
        <is>
          <t>whitetail</t>
        </is>
      </c>
      <c r="D1393" s="4" t="n">
        <v>2024</v>
      </c>
      <c r="E1393" s="5" t="n"/>
      <c r="F1393" s="5" t="n"/>
      <c r="G1393" s="5" t="n">
        <v>382</v>
      </c>
      <c r="H1393" s="10">
        <f>IF(E1393&gt;0,G1393/E1393,"")</f>
        <v/>
      </c>
      <c r="I1393" s="11">
        <f>IF(AND(F1393&gt;0,G1393&gt;0),F1393/G1393,"")</f>
        <v/>
      </c>
    </row>
    <row r="1394">
      <c r="A1394" s="4" t="inlineStr">
        <is>
          <t>702</t>
        </is>
      </c>
      <c r="B1394" s="4" t="n">
        <v>7</v>
      </c>
      <c r="C1394" s="4" t="inlineStr">
        <is>
          <t>whitetail</t>
        </is>
      </c>
      <c r="D1394" s="4" t="n">
        <v>2025</v>
      </c>
      <c r="E1394" s="5" t="n">
        <v>1740</v>
      </c>
      <c r="F1394" s="5" t="n">
        <v>9567</v>
      </c>
      <c r="G1394" s="5" t="n">
        <v>269</v>
      </c>
      <c r="H1394" s="10">
        <f>IF(E1394&gt;0,G1394/E1394,"")</f>
        <v/>
      </c>
      <c r="I1394" s="11">
        <f>IF(AND(F1394&gt;0,G1394&gt;0),F1394/G1394,"")</f>
        <v/>
      </c>
    </row>
    <row r="1395">
      <c r="A1395" s="4" t="inlineStr">
        <is>
          <t>703</t>
        </is>
      </c>
      <c r="B1395" s="4" t="n">
        <v>7</v>
      </c>
      <c r="C1395" s="4" t="inlineStr">
        <is>
          <t>whitetail</t>
        </is>
      </c>
      <c r="D1395" s="4" t="n">
        <v>2021</v>
      </c>
      <c r="E1395" s="5" t="n">
        <v>3853</v>
      </c>
      <c r="F1395" s="5" t="n">
        <v>21574</v>
      </c>
      <c r="G1395" s="5" t="n">
        <v>934</v>
      </c>
      <c r="H1395" s="10">
        <f>IF(E1395&gt;0,G1395/E1395,"")</f>
        <v/>
      </c>
      <c r="I1395" s="11">
        <f>IF(AND(F1395&gt;0,G1395&gt;0),F1395/G1395,"")</f>
        <v/>
      </c>
    </row>
    <row r="1396">
      <c r="A1396" s="4" t="inlineStr">
        <is>
          <t>703</t>
        </is>
      </c>
      <c r="B1396" s="4" t="n">
        <v>7</v>
      </c>
      <c r="C1396" s="4" t="inlineStr">
        <is>
          <t>whitetail</t>
        </is>
      </c>
      <c r="D1396" s="4" t="n">
        <v>2022</v>
      </c>
      <c r="E1396" s="5" t="n"/>
      <c r="F1396" s="5" t="n"/>
      <c r="G1396" s="5" t="n">
        <v>1109</v>
      </c>
      <c r="H1396" s="10">
        <f>IF(E1396&gt;0,G1396/E1396,"")</f>
        <v/>
      </c>
      <c r="I1396" s="11">
        <f>IF(AND(F1396&gt;0,G1396&gt;0),F1396/G1396,"")</f>
        <v/>
      </c>
    </row>
    <row r="1397">
      <c r="A1397" s="4" t="inlineStr">
        <is>
          <t>703</t>
        </is>
      </c>
      <c r="B1397" s="4" t="n">
        <v>7</v>
      </c>
      <c r="C1397" s="4" t="inlineStr">
        <is>
          <t>whitetail</t>
        </is>
      </c>
      <c r="D1397" s="4" t="n">
        <v>2023</v>
      </c>
      <c r="E1397" s="5" t="n">
        <v>3673</v>
      </c>
      <c r="F1397" s="5" t="n">
        <v>20696</v>
      </c>
      <c r="G1397" s="5" t="n">
        <v>848</v>
      </c>
      <c r="H1397" s="10">
        <f>IF(E1397&gt;0,G1397/E1397,"")</f>
        <v/>
      </c>
      <c r="I1397" s="11">
        <f>IF(AND(F1397&gt;0,G1397&gt;0),F1397/G1397,"")</f>
        <v/>
      </c>
    </row>
    <row r="1398">
      <c r="A1398" s="4" t="inlineStr">
        <is>
          <t>703</t>
        </is>
      </c>
      <c r="B1398" s="4" t="n">
        <v>7</v>
      </c>
      <c r="C1398" s="4" t="inlineStr">
        <is>
          <t>whitetail</t>
        </is>
      </c>
      <c r="D1398" s="4" t="n">
        <v>2024</v>
      </c>
      <c r="E1398" s="5" t="n"/>
      <c r="F1398" s="5" t="n"/>
      <c r="G1398" s="5" t="n">
        <v>815</v>
      </c>
      <c r="H1398" s="10">
        <f>IF(E1398&gt;0,G1398/E1398,"")</f>
        <v/>
      </c>
      <c r="I1398" s="11">
        <f>IF(AND(F1398&gt;0,G1398&gt;0),F1398/G1398,"")</f>
        <v/>
      </c>
    </row>
    <row r="1399">
      <c r="A1399" s="4" t="inlineStr">
        <is>
          <t>703</t>
        </is>
      </c>
      <c r="B1399" s="4" t="n">
        <v>7</v>
      </c>
      <c r="C1399" s="4" t="inlineStr">
        <is>
          <t>whitetail</t>
        </is>
      </c>
      <c r="D1399" s="4" t="n">
        <v>2025</v>
      </c>
      <c r="E1399" s="5" t="n">
        <v>3447</v>
      </c>
      <c r="F1399" s="5" t="n">
        <v>21223</v>
      </c>
      <c r="G1399" s="5" t="n">
        <v>448</v>
      </c>
      <c r="H1399" s="10">
        <f>IF(E1399&gt;0,G1399/E1399,"")</f>
        <v/>
      </c>
      <c r="I1399" s="11">
        <f>IF(AND(F1399&gt;0,G1399&gt;0),F1399/G1399,"")</f>
        <v/>
      </c>
    </row>
    <row r="1400">
      <c r="A1400" s="4" t="inlineStr">
        <is>
          <t>704</t>
        </is>
      </c>
      <c r="B1400" s="4" t="n">
        <v>7</v>
      </c>
      <c r="C1400" s="4" t="inlineStr">
        <is>
          <t>whitetail</t>
        </is>
      </c>
      <c r="D1400" s="4" t="n">
        <v>2021</v>
      </c>
      <c r="E1400" s="5" t="n">
        <v>5005</v>
      </c>
      <c r="F1400" s="5" t="n">
        <v>26625</v>
      </c>
      <c r="G1400" s="5" t="n">
        <v>893</v>
      </c>
      <c r="H1400" s="10">
        <f>IF(E1400&gt;0,G1400/E1400,"")</f>
        <v/>
      </c>
      <c r="I1400" s="11">
        <f>IF(AND(F1400&gt;0,G1400&gt;0),F1400/G1400,"")</f>
        <v/>
      </c>
    </row>
    <row r="1401">
      <c r="A1401" s="4" t="inlineStr">
        <is>
          <t>704</t>
        </is>
      </c>
      <c r="B1401" s="4" t="n">
        <v>7</v>
      </c>
      <c r="C1401" s="4" t="inlineStr">
        <is>
          <t>whitetail</t>
        </is>
      </c>
      <c r="D1401" s="4" t="n">
        <v>2022</v>
      </c>
      <c r="E1401" s="5" t="n"/>
      <c r="F1401" s="5" t="n"/>
      <c r="G1401" s="5" t="n">
        <v>647</v>
      </c>
      <c r="H1401" s="10">
        <f>IF(E1401&gt;0,G1401/E1401,"")</f>
        <v/>
      </c>
      <c r="I1401" s="11">
        <f>IF(AND(F1401&gt;0,G1401&gt;0),F1401/G1401,"")</f>
        <v/>
      </c>
    </row>
    <row r="1402">
      <c r="A1402" s="4" t="inlineStr">
        <is>
          <t>704</t>
        </is>
      </c>
      <c r="B1402" s="4" t="n">
        <v>7</v>
      </c>
      <c r="C1402" s="4" t="inlineStr">
        <is>
          <t>whitetail</t>
        </is>
      </c>
      <c r="D1402" s="4" t="n">
        <v>2023</v>
      </c>
      <c r="E1402" s="5" t="n">
        <v>4258</v>
      </c>
      <c r="F1402" s="5" t="n">
        <v>23302</v>
      </c>
      <c r="G1402" s="5" t="n">
        <v>756</v>
      </c>
      <c r="H1402" s="10">
        <f>IF(E1402&gt;0,G1402/E1402,"")</f>
        <v/>
      </c>
      <c r="I1402" s="11">
        <f>IF(AND(F1402&gt;0,G1402&gt;0),F1402/G1402,"")</f>
        <v/>
      </c>
    </row>
    <row r="1403">
      <c r="A1403" s="4" t="inlineStr">
        <is>
          <t>704</t>
        </is>
      </c>
      <c r="B1403" s="4" t="n">
        <v>7</v>
      </c>
      <c r="C1403" s="4" t="inlineStr">
        <is>
          <t>whitetail</t>
        </is>
      </c>
      <c r="D1403" s="4" t="n">
        <v>2024</v>
      </c>
      <c r="E1403" s="5" t="n"/>
      <c r="F1403" s="5" t="n"/>
      <c r="G1403" s="5" t="n">
        <v>716</v>
      </c>
      <c r="H1403" s="10">
        <f>IF(E1403&gt;0,G1403/E1403,"")</f>
        <v/>
      </c>
      <c r="I1403" s="11">
        <f>IF(AND(F1403&gt;0,G1403&gt;0),F1403/G1403,"")</f>
        <v/>
      </c>
    </row>
    <row r="1404">
      <c r="A1404" s="4" t="inlineStr">
        <is>
          <t>704</t>
        </is>
      </c>
      <c r="B1404" s="4" t="n">
        <v>7</v>
      </c>
      <c r="C1404" s="4" t="inlineStr">
        <is>
          <t>whitetail</t>
        </is>
      </c>
      <c r="D1404" s="4" t="n">
        <v>2025</v>
      </c>
      <c r="E1404" s="5" t="n">
        <v>4306</v>
      </c>
      <c r="F1404" s="5" t="n">
        <v>25609</v>
      </c>
      <c r="G1404" s="5" t="n">
        <v>652</v>
      </c>
      <c r="H1404" s="10">
        <f>IF(E1404&gt;0,G1404/E1404,"")</f>
        <v/>
      </c>
      <c r="I1404" s="11">
        <f>IF(AND(F1404&gt;0,G1404&gt;0),F1404/G1404,"")</f>
        <v/>
      </c>
    </row>
    <row r="1405">
      <c r="A1405" s="4" t="inlineStr">
        <is>
          <t>705</t>
        </is>
      </c>
      <c r="B1405" s="4" t="n">
        <v>7</v>
      </c>
      <c r="C1405" s="4" t="inlineStr">
        <is>
          <t>whitetail</t>
        </is>
      </c>
      <c r="D1405" s="4" t="n">
        <v>2021</v>
      </c>
      <c r="E1405" s="5" t="n">
        <v>5464</v>
      </c>
      <c r="F1405" s="5" t="n">
        <v>28793</v>
      </c>
      <c r="G1405" s="5" t="n">
        <v>1230</v>
      </c>
      <c r="H1405" s="10">
        <f>IF(E1405&gt;0,G1405/E1405,"")</f>
        <v/>
      </c>
      <c r="I1405" s="11">
        <f>IF(AND(F1405&gt;0,G1405&gt;0),F1405/G1405,"")</f>
        <v/>
      </c>
    </row>
    <row r="1406">
      <c r="A1406" s="4" t="inlineStr">
        <is>
          <t>705</t>
        </is>
      </c>
      <c r="B1406" s="4" t="n">
        <v>7</v>
      </c>
      <c r="C1406" s="4" t="inlineStr">
        <is>
          <t>whitetail</t>
        </is>
      </c>
      <c r="D1406" s="4" t="n">
        <v>2022</v>
      </c>
      <c r="E1406" s="5" t="n"/>
      <c r="F1406" s="5" t="n"/>
      <c r="G1406" s="5" t="n">
        <v>824</v>
      </c>
      <c r="H1406" s="10">
        <f>IF(E1406&gt;0,G1406/E1406,"")</f>
        <v/>
      </c>
      <c r="I1406" s="11">
        <f>IF(AND(F1406&gt;0,G1406&gt;0),F1406/G1406,"")</f>
        <v/>
      </c>
    </row>
    <row r="1407">
      <c r="A1407" s="4" t="inlineStr">
        <is>
          <t>705</t>
        </is>
      </c>
      <c r="B1407" s="4" t="n">
        <v>7</v>
      </c>
      <c r="C1407" s="4" t="inlineStr">
        <is>
          <t>whitetail</t>
        </is>
      </c>
      <c r="D1407" s="4" t="n">
        <v>2023</v>
      </c>
      <c r="E1407" s="5" t="n">
        <v>3682</v>
      </c>
      <c r="F1407" s="5" t="n">
        <v>19348</v>
      </c>
      <c r="G1407" s="5" t="n">
        <v>814</v>
      </c>
      <c r="H1407" s="10">
        <f>IF(E1407&gt;0,G1407/E1407,"")</f>
        <v/>
      </c>
      <c r="I1407" s="11">
        <f>IF(AND(F1407&gt;0,G1407&gt;0),F1407/G1407,"")</f>
        <v/>
      </c>
    </row>
    <row r="1408">
      <c r="A1408" s="4" t="inlineStr">
        <is>
          <t>705</t>
        </is>
      </c>
      <c r="B1408" s="4" t="n">
        <v>7</v>
      </c>
      <c r="C1408" s="4" t="inlineStr">
        <is>
          <t>whitetail</t>
        </is>
      </c>
      <c r="D1408" s="4" t="n">
        <v>2024</v>
      </c>
      <c r="E1408" s="5" t="n"/>
      <c r="F1408" s="5" t="n"/>
      <c r="G1408" s="5" t="n">
        <v>899</v>
      </c>
      <c r="H1408" s="10">
        <f>IF(E1408&gt;0,G1408/E1408,"")</f>
        <v/>
      </c>
      <c r="I1408" s="11">
        <f>IF(AND(F1408&gt;0,G1408&gt;0),F1408/G1408,"")</f>
        <v/>
      </c>
    </row>
    <row r="1409">
      <c r="A1409" s="4" t="inlineStr">
        <is>
          <t>705</t>
        </is>
      </c>
      <c r="B1409" s="4" t="n">
        <v>7</v>
      </c>
      <c r="C1409" s="4" t="inlineStr">
        <is>
          <t>whitetail</t>
        </is>
      </c>
      <c r="D1409" s="4" t="n">
        <v>2025</v>
      </c>
      <c r="E1409" s="5" t="n">
        <v>3585</v>
      </c>
      <c r="F1409" s="5" t="n">
        <v>20671</v>
      </c>
      <c r="G1409" s="5" t="n">
        <v>798</v>
      </c>
      <c r="H1409" s="10">
        <f>IF(E1409&gt;0,G1409/E1409,"")</f>
        <v/>
      </c>
      <c r="I1409" s="11">
        <f>IF(AND(F1409&gt;0,G1409&gt;0),F1409/G1409,"")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2026-10-22T21:57:31Z</dcterms:created>
  <dcterms:modified xmlns:dcterms="http://purl.org/dc/terms/" xmlns:xsi="http://www.w3.org/2001/XMLSchema-instance" xsi:type="dcterms:W3CDTF">2026-10-22T21:57:31Z</dcterms:modified>
</cp:coreProperties>
</file>